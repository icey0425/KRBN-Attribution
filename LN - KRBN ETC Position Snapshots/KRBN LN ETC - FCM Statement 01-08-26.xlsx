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1007E65-09E5-4026-BB90-587BA0B984F3}" xr6:coauthVersionLast="47" xr6:coauthVersionMax="47" xr10:uidLastSave="{0427212F-5A29-4D4C-87BF-1DDE32683AAE}"/>
  <bookViews>
    <workbookView xWindow="30225" yWindow="5610" windowWidth="22095" windowHeight="949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<sst xmlns="http://schemas.openxmlformats.org/spreadsheetml/2006/main" count="95" uniqueCount="50">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</sst>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46030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12129800.92</v>
      </c>
      <c r="J6" t="s">
        <v>25</v>
      </c>
    </row>
    <row r="7" spans="1:12" x14ac:dyDescent="0.3">
      <c r="J7" s="57">
        <f>(D26+D27)/B6</f>
        <v>0.85611834262486808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1.1666433337999906</v>
      </c>
      <c r="H10" s="49">
        <v>88.19</v>
      </c>
      <c r="I10" s="4"/>
      <c r="J10" s="9">
        <f>D10*E10*G10*H10</f>
        <v>7099153.0169396615</v>
      </c>
      <c r="K10" s="54">
        <v>0.591442164582206</v>
      </c>
      <c r="L10" s="20">
        <f t="shared" ref="L10:L13" si="0">J10/$B$6</f>
        <v>0.58526541892656736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1.3441582880800045</v>
      </c>
      <c r="H11" s="49">
        <v>68.17</v>
      </c>
      <c r="I11" s="4"/>
      <c r="J11" s="9">
        <f t="shared" ref="J11" si="1">D11*E11*G11*H11</f>
        <v>641418.89348889724</v>
      </c>
      <c r="K11" s="54">
        <v>5.39480041521051E-2</v>
      </c>
      <c r="L11" s="20">
        <f t="shared" si="0"/>
        <v>5.2879589510105268E-2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33.76</v>
      </c>
      <c r="I12" s="4"/>
      <c r="J12" s="9">
        <f>D12*E12*H12</f>
        <v>3038400</v>
      </c>
      <c r="K12" s="54">
        <v>0.25823020617241199</v>
      </c>
      <c r="L12" s="20">
        <f t="shared" si="0"/>
        <v>0.25049050846252469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26.94</v>
      </c>
      <c r="I13" s="4"/>
      <c r="J13" s="9">
        <f>D13*E13*H13</f>
        <v>538800</v>
      </c>
      <c r="K13" s="54">
        <v>4.39896062209581E-2</v>
      </c>
      <c r="L13" s="20">
        <f t="shared" si="0"/>
        <v>4.4419525394815793E-2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75</v>
      </c>
      <c r="I14" s="11"/>
      <c r="J14" s="13">
        <f>D14*E14*H14</f>
        <v>600000</v>
      </c>
      <c r="K14" s="55">
        <v>5.2390018872317201E-2</v>
      </c>
      <c r="L14" s="20">
        <f>J14/$B$6</f>
        <v>4.946495032830267E-2</v>
      </c>
    </row>
    <row r="15" spans="1:12" ht="15" thickBot="1" x14ac:dyDescent="0.35">
      <c r="J15" s="33">
        <f>SUM(J10:J14)</f>
        <v>11917771.910428558</v>
      </c>
      <c r="K15" s="34">
        <f>SUM(K10:K14)</f>
        <v>0.99999999999999845</v>
      </c>
      <c r="L15" s="35">
        <f>SUM(L10:L14)</f>
        <v>0.98251999262231571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1.16855</v>
      </c>
      <c r="I20" s="22"/>
      <c r="J20" s="6">
        <f>D20*E20*H20</f>
        <v>5258475</v>
      </c>
      <c r="K20" s="26">
        <f>SUM(K10:K10)</f>
        <v>0.591442164582206</v>
      </c>
      <c r="L20" s="24">
        <f>SUM(J20:J22)/$B$6</f>
        <v>0.58467241496711453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1.1666433337999906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1571590</v>
      </c>
      <c r="E22" s="25">
        <v>1</v>
      </c>
      <c r="F22" s="11" t="s">
        <v>4</v>
      </c>
      <c r="G22" s="61">
        <v>1.1666433337999906</v>
      </c>
      <c r="H22" s="11"/>
      <c r="I22" s="11"/>
      <c r="J22" s="13">
        <f>D22*G22</f>
        <v>1833484.9969667273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1.3441582880800045</v>
      </c>
      <c r="H23" s="7"/>
      <c r="I23" s="7"/>
      <c r="J23" s="9">
        <f>D23*G23</f>
        <v>0</v>
      </c>
      <c r="K23" s="69">
        <f>K11</f>
        <v>5.39480041521051E-2</v>
      </c>
      <c r="L23" s="69">
        <f>(SUM(J23:J24))/B6</f>
        <v>4.4585287543494251E-2</v>
      </c>
    </row>
    <row r="24" spans="1:13" ht="15" thickBot="1" x14ac:dyDescent="0.35">
      <c r="A24" s="64" t="s">
        <v>38</v>
      </c>
      <c r="B24" s="11"/>
      <c r="C24" s="11"/>
      <c r="D24" s="52">
        <v>402341.5</v>
      </c>
      <c r="E24" s="25">
        <v>1</v>
      </c>
      <c r="F24" s="11" t="s">
        <v>22</v>
      </c>
      <c r="G24" s="61">
        <v>1.3441582880800045</v>
      </c>
      <c r="H24" s="11"/>
      <c r="I24" s="11"/>
      <c r="J24" s="13">
        <f>D24*G24</f>
        <v>540810.66186354111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-5258475</v>
      </c>
      <c r="K25" s="65">
        <f>SUM(K12:K14)</f>
        <v>0.35460983126568729</v>
      </c>
      <c r="L25" s="20">
        <f>SUM(J25:J29)/$B$6</f>
        <v>0.37062847451660669</v>
      </c>
    </row>
    <row r="26" spans="1:13" x14ac:dyDescent="0.3">
      <c r="A26" s="5" t="s">
        <v>13</v>
      </c>
      <c r="B26" s="5"/>
      <c r="C26" s="5"/>
      <c r="D26" s="49">
        <v>1485384.08</v>
      </c>
      <c r="E26" s="23">
        <v>1</v>
      </c>
      <c r="F26" s="7" t="s">
        <v>5</v>
      </c>
      <c r="G26" s="7"/>
      <c r="H26" s="4"/>
      <c r="I26" s="4"/>
      <c r="J26" s="6">
        <f>D26</f>
        <v>1485384.08</v>
      </c>
      <c r="K26" s="4"/>
      <c r="L26" s="4"/>
    </row>
    <row r="27" spans="1:13" x14ac:dyDescent="0.3">
      <c r="A27" s="5" t="s">
        <v>14</v>
      </c>
      <c r="B27" s="5"/>
      <c r="C27" s="5"/>
      <c r="D27" s="49">
        <v>8899160.9800000004</v>
      </c>
      <c r="E27" s="23">
        <v>1</v>
      </c>
      <c r="F27" s="7" t="s">
        <v>5</v>
      </c>
      <c r="G27" s="7"/>
      <c r="H27" s="4"/>
      <c r="I27" s="4"/>
      <c r="J27" s="6">
        <f>D27-J24-J22</f>
        <v>6524865.3211697321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1743875.21</v>
      </c>
      <c r="E29" s="25">
        <v>1</v>
      </c>
      <c r="F29" s="11" t="s">
        <v>5</v>
      </c>
      <c r="G29" s="11"/>
      <c r="H29" s="11"/>
      <c r="I29" s="11"/>
      <c r="J29" s="13">
        <f>D29</f>
        <v>1743875.21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12128420.27</v>
      </c>
      <c r="K30" s="42">
        <f>SUM(K20:K29)</f>
        <v>0.99999999999999845</v>
      </c>
      <c r="L30" s="42">
        <f>SUM(L20:L29)</f>
        <v>0.99988617702721538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1.16855</v>
      </c>
      <c r="I35" s="22"/>
      <c r="J35" s="6">
        <f>J20</f>
        <v>5258475</v>
      </c>
      <c r="K35" s="26">
        <f>SUM(K10:K10)</f>
        <v>0.591442164582206</v>
      </c>
      <c r="L35" s="24">
        <f>SUM(J35:J37)/$B$6</f>
        <v>0.58467241496711453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1571590</v>
      </c>
      <c r="E37" s="25"/>
      <c r="F37" s="11" t="s">
        <v>4</v>
      </c>
      <c r="G37" s="11"/>
      <c r="H37" s="11"/>
      <c r="I37" s="11"/>
      <c r="J37" s="29">
        <f>J22</f>
        <v>1833484.9969667273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5.39480041521051E-2</v>
      </c>
      <c r="L38" s="69">
        <f>(SUM(J38:J39))/$B$6</f>
        <v>4.4585287543494251E-2</v>
      </c>
    </row>
    <row r="39" spans="1:12" ht="15" thickBot="1" x14ac:dyDescent="0.35">
      <c r="A39" s="11" t="s">
        <v>38</v>
      </c>
      <c r="B39" s="11"/>
      <c r="C39" s="11"/>
      <c r="D39" s="29">
        <v>402341.5</v>
      </c>
      <c r="E39" s="25"/>
      <c r="F39" s="11" t="s">
        <v>22</v>
      </c>
      <c r="G39" s="11"/>
      <c r="H39" s="11"/>
      <c r="I39" s="11"/>
      <c r="J39" s="29">
        <f>J24</f>
        <v>540810.66186354111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4495649.6111697322</v>
      </c>
      <c r="K40" s="71">
        <f>K25</f>
        <v>0.35460983126568729</v>
      </c>
      <c r="L40" s="71">
        <f>L25</f>
        <v>0.37062847451660669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12128420.27</v>
      </c>
      <c r="K41" s="42">
        <f>SUM(K35:K40)</f>
        <v>0.99999999999999845</v>
      </c>
      <c r="L41" s="42">
        <f>SUM(L35:L40)</f>
        <v>0.99988617702721538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2026-01-09T12:26:47Z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