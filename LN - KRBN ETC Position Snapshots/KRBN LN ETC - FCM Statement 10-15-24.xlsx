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183FD0AC-0A16-49B6-AEEE-D16DAFEE2381}" xr6:coauthVersionLast="47" xr6:coauthVersionMax="47" xr10:uidLastSave="{4780F7FB-C717-40BD-B309-ACCCA74921E6}"/>
  <bookViews>
    <workbookView xWindow="30105" yWindow="3555" windowWidth="22110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<sst xmlns="http://schemas.openxmlformats.org/spreadsheetml/2006/main" count="91" uniqueCount="51">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</sst>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45580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12121093.979999999</v>
      </c>
      <c r="J6" t="s">
        <v>27</v>
      </c>
    </row>
    <row r="7" spans="1:12" x14ac:dyDescent="0.3">
      <c r="J7" s="63">
        <f>(D25+D26)/B6</f>
        <v>0.94864511726193235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1.0902985237357989</v>
      </c>
      <c r="H10" s="54">
        <v>65.09</v>
      </c>
      <c r="I10" s="5"/>
      <c r="J10" s="10">
        <f>D10*E10*G10*H10</f>
        <v>6316110.2509867214</v>
      </c>
      <c r="K10" s="60">
        <v>0.53351540144970899</v>
      </c>
      <c r="L10" s="21">
        <f t="shared" ref="L10:L14" si="0">J10/$B$6</f>
        <v>0.52108417453147426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1.0902985237357989</v>
      </c>
      <c r="H11" s="54">
        <v>67.2</v>
      </c>
      <c r="I11" s="5"/>
      <c r="J11" s="10">
        <f t="shared" ref="J11:J12" si="1">D11*E11*G11*H11</f>
        <v>586144.48636036552</v>
      </c>
      <c r="K11" s="60">
        <v>4.80442535863616E-2</v>
      </c>
      <c r="L11" s="21">
        <f t="shared" si="0"/>
        <v>4.835739144729951E-2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1.3096033211540226</v>
      </c>
      <c r="H12" s="54">
        <v>39.04</v>
      </c>
      <c r="I12" s="5"/>
      <c r="J12" s="10">
        <f t="shared" si="1"/>
        <v>511269.13657853036</v>
      </c>
      <c r="K12" s="60">
        <v>4.5415934965135601E-2</v>
      </c>
      <c r="L12" s="21">
        <f t="shared" si="0"/>
        <v>4.2180114882545479E-2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38.340000000000003</v>
      </c>
      <c r="I13" s="5"/>
      <c r="J13" s="10">
        <f>D13*E13*H13</f>
        <v>3105540.0000000005</v>
      </c>
      <c r="K13" s="60">
        <v>0.27037237317052598</v>
      </c>
      <c r="L13" s="21">
        <f t="shared" si="0"/>
        <v>0.25620954718478312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40.49</v>
      </c>
      <c r="I14" s="5"/>
      <c r="J14" s="10">
        <f>D14*E14*H14</f>
        <v>607350</v>
      </c>
      <c r="K14" s="60">
        <v>5.3407481831105601E-2</v>
      </c>
      <c r="L14" s="21">
        <f t="shared" si="0"/>
        <v>5.010686337405991E-2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19.5</v>
      </c>
      <c r="I15" s="12"/>
      <c r="J15" s="14">
        <f>D15*E15*H15</f>
        <v>585000</v>
      </c>
      <c r="K15" s="61">
        <v>4.9244554997161502E-2</v>
      </c>
      <c r="L15" s="21">
        <f>J15/$B$6</f>
        <v>4.8262970402280475E-2</v>
      </c>
    </row>
    <row r="16" spans="1:12" ht="15" thickBot="1" x14ac:dyDescent="0.35">
      <c r="J16" s="35">
        <f>SUM(J10:J15)</f>
        <v>11711413.873925617</v>
      </c>
      <c r="K16" s="36">
        <f>SUM(K10:K15)</f>
        <v>0.99999999999999922</v>
      </c>
      <c r="L16" s="37">
        <f>SUM(L10:L15)</f>
        <v>0.96620106182244281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/>
      <c r="E21" s="51">
        <v>125000</v>
      </c>
      <c r="F21" s="5" t="s">
        <v>5</v>
      </c>
      <c r="G21" s="23"/>
      <c r="H21" s="58"/>
      <c r="I21" s="23"/>
      <c r="J21" s="7">
        <f>D21*E21*H21</f>
        <v>0</v>
      </c>
      <c r="K21" s="27">
        <f>SUM(K10:K11)</f>
        <v>0.58155965503607054</v>
      </c>
      <c r="L21" s="25">
        <f>SUM(J21:J22)/$B$6</f>
        <v>0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1.0902985237357989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1.3096033211540226</v>
      </c>
      <c r="H23" s="41"/>
      <c r="I23" s="41"/>
      <c r="J23" s="43">
        <f>D23*G23</f>
        <v>0</v>
      </c>
      <c r="K23" s="44">
        <f>K12</f>
        <v>4.5415934965135601E-2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0</v>
      </c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0.37302440999879311</v>
      </c>
      <c r="L24" s="25">
        <f>SUM(J24:J28)/$B$6</f>
        <v>1.0002081198284714</v>
      </c>
    </row>
    <row r="25" spans="1:13" x14ac:dyDescent="0.3">
      <c r="A25" s="6" t="s">
        <v>13</v>
      </c>
      <c r="B25" s="6"/>
      <c r="C25" s="6"/>
      <c r="D25" s="54">
        <v>2026590.98</v>
      </c>
      <c r="E25" s="24">
        <v>1</v>
      </c>
      <c r="F25" s="8" t="s">
        <v>5</v>
      </c>
      <c r="G25" s="8"/>
      <c r="H25" s="5"/>
      <c r="I25" s="5"/>
      <c r="J25" s="7">
        <f>D25</f>
        <v>2026590.98</v>
      </c>
      <c r="K25" s="5"/>
      <c r="L25" s="5"/>
    </row>
    <row r="26" spans="1:13" x14ac:dyDescent="0.3">
      <c r="A26" s="6" t="s">
        <v>14</v>
      </c>
      <c r="B26" s="6"/>
      <c r="C26" s="6"/>
      <c r="D26" s="54">
        <v>9472025.6400000006</v>
      </c>
      <c r="E26" s="24">
        <v>1</v>
      </c>
      <c r="F26" s="8" t="s">
        <v>5</v>
      </c>
      <c r="G26" s="8"/>
      <c r="H26" s="5"/>
      <c r="I26" s="5"/>
      <c r="J26" s="7">
        <f>D26</f>
        <v>9472025.6400000006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12123616.620000001</v>
      </c>
      <c r="K29" s="46">
        <f>SUM(K21:K28)</f>
        <v>0.99999999999999933</v>
      </c>
      <c r="L29" s="46">
        <f>SUM(L21:L28)</f>
        <v>1.0002081198284714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0</v>
      </c>
      <c r="E34" s="24">
        <v>125000</v>
      </c>
      <c r="F34" s="5" t="s">
        <v>5</v>
      </c>
      <c r="G34" s="23"/>
      <c r="H34" s="33">
        <v>0</v>
      </c>
      <c r="I34" s="23"/>
      <c r="J34" s="7">
        <f>J21</f>
        <v>0</v>
      </c>
      <c r="K34" s="27">
        <f>SUM(K10:K11)</f>
        <v>0.58155965503607054</v>
      </c>
      <c r="L34" s="25">
        <f>SUM(J34:J35)/$B$6</f>
        <v>0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4.5415934965135601E-2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12123616.620000001</v>
      </c>
      <c r="K37" s="67">
        <f>K24</f>
        <v>0.37302440999879311</v>
      </c>
      <c r="L37" s="67">
        <f>L24</f>
        <v>1.0002081198284714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12123616.620000001</v>
      </c>
      <c r="K38" s="46">
        <f>SUM(K34:K37)</f>
        <v>0.99999999999999933</v>
      </c>
      <c r="L38" s="46">
        <f>SUM(L34:L37)</f>
        <v>1.0002081198284714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2024-10-16T12:17:33Z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