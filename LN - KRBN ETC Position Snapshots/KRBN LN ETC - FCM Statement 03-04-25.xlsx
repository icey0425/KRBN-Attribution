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0" documentId="8_{8418B4DC-DE17-4249-AB3C-5139B64485FC}" xr6:coauthVersionLast="47" xr6:coauthVersionMax="47" xr10:uidLastSave="{00000000-0000-0000-0000-000000000000}"/>
  <bookViews>
    <workbookView xWindow="34320" yWindow="1605" windowWidth="18945" windowHeight="1105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K32" i="1" s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17" i="1" s="1"/>
  <c r="J7" i="1"/>
  <c r="L25" i="1" l="1"/>
  <c r="J29" i="1"/>
  <c r="J40" i="1"/>
  <c r="L10" i="1"/>
  <c r="K43" i="1"/>
  <c r="L17" i="1"/>
  <c r="L37" i="1"/>
  <c r="L40" i="1"/>
  <c r="J27" i="1"/>
  <c r="L22" i="1"/>
  <c r="J32" i="1"/>
  <c r="J42" i="1" l="1"/>
  <c r="J43" i="1" s="1"/>
  <c r="L27" i="1"/>
  <c r="L42" i="1" s="1"/>
  <c r="L43" i="1" s="1"/>
  <c r="L32" i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<sst xmlns="http://schemas.openxmlformats.org/spreadsheetml/2006/main" count="103" uniqueCount="56">
  <si>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</si>
  <si>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</si>
  <si>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</si>
  <si>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</si>
  <si>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</si>
  <si>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</si>
  <si>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</si>
  <si>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</si>
  <si>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</si>
  <si>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</si>
  <si>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</si>
  <si>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</si>
  <si>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</si>
  <si>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</si>
  <si>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</si>
  <si>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</si>
  <si>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</si>
  <si>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</si>
  <si>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</si>
  <si>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</si>
  <si>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</si>
  <si>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</si>
  <si>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</si>
  <si>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</si>
  <si>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</si>
  <si>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</si>
  <si>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</si>
  <si>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</si>
  <si>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</si>
  <si>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</si>
  <si>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</si>
  <si>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</si>
  <si>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</si>
  <si>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</si>
  <si>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</si>
  <si>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</si>
  <si>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</si>
  <si>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</si>
  <si>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</si>
  <si>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</si>
  <si>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</si>
  <si>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</si>
  <si>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</si>
  <si>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</si>
  <si>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</si>
  <si>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</si>
  <si>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</si>
  <si>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</si>
  <si>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</si>
  <si>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</si>
  <si>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</si>
  <si>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 Cash in BBH</t>
  </si>
  <si>
    <t>EURO in CFC</t>
  </si>
  <si>
    <t>GBP Cash in BBH</t>
  </si>
  <si>
    <t>GBP in CFC</t>
  </si>
  <si>
    <t>EURO FX CURR FUT  Mar25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</si>
</sst>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5" x14ac:dyDescent="0.35"/>
  <cols>
    <col min="1" max="1" width="17.81640625" customWidth="1"/>
    <col min="2" max="2" width="21.453125" customWidth="1"/>
    <col min="3" max="3" width="33.54296875" bestFit="1" customWidth="1"/>
    <col min="4" max="4" width="17.1796875" customWidth="1"/>
    <col min="5" max="5" width="10.81640625" customWidth="1"/>
    <col min="6" max="6" width="7.1796875" customWidth="1"/>
    <col min="7" max="7" width="11.1796875" customWidth="1"/>
    <col min="8" max="8" width="12.1796875" customWidth="1"/>
    <col min="9" max="9" width="1.81640625" customWidth="1"/>
    <col min="10" max="10" width="24.453125" customWidth="1"/>
    <col min="11" max="11" width="17.1796875" customWidth="1"/>
    <col min="12" max="12" width="17.54296875" customWidth="1"/>
  </cols>
  <sheetData>
    <row r="1" spans="1:12" ht="23" customHeight="1" x14ac:dyDescent="0.55000000000000004">
      <c r="A1" s="32" t="s">
        <v>33</v>
      </c>
      <c r="B1" s="21"/>
      <c r="C1" s="21"/>
      <c r="D1" s="21"/>
      <c r="E1" s="21"/>
      <c r="J1" s="43"/>
      <c r="K1" s="44"/>
      <c r="L1" s="45"/>
    </row>
    <row r="2" spans="1:12" ht="23.15" customHeight="1" x14ac:dyDescent="0.35">
      <c r="A2" t="s">
        <v>34</v>
      </c>
      <c r="J2" s="43"/>
      <c r="K2" s="44"/>
      <c r="L2" s="45"/>
    </row>
    <row r="3" spans="1:12" x14ac:dyDescent="0.35">
      <c r="A3" t="s">
        <v>15</v>
      </c>
      <c r="B3" s="56">
        <v>45720</v>
      </c>
    </row>
    <row r="4" spans="1:12" x14ac:dyDescent="0.35">
      <c r="A4" t="s">
        <v>20</v>
      </c>
      <c r="B4">
        <v>0</v>
      </c>
    </row>
    <row r="5" spans="1:12" x14ac:dyDescent="0.35">
      <c r="A5" t="s">
        <v>21</v>
      </c>
      <c r="B5">
        <v>0</v>
      </c>
    </row>
    <row r="6" spans="1:12" x14ac:dyDescent="0.35">
      <c r="A6" s="2" t="s">
        <v>19</v>
      </c>
      <c r="B6" s="37">
        <v>11284697.74</v>
      </c>
      <c r="J6" t="s">
        <v>25</v>
      </c>
    </row>
    <row r="7" spans="1:12" x14ac:dyDescent="0.35">
      <c r="J7" s="57">
        <f>(D28+D29)/B6</f>
        <v>0.94887787486277853</v>
      </c>
      <c r="K7" s="18"/>
    </row>
    <row r="8" spans="1:12" ht="15" thickBot="1" x14ac:dyDescent="0.4">
      <c r="A8" s="2" t="s">
        <v>26</v>
      </c>
    </row>
    <row r="9" spans="1:12" s="3" customFormat="1" ht="29.5" thickBot="1" x14ac:dyDescent="0.4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5">
      <c r="A10" s="4" t="s">
        <v>27</v>
      </c>
      <c r="B10" s="5" t="s">
        <v>28</v>
      </c>
      <c r="C10" s="8" t="s">
        <v>29</v>
      </c>
      <c r="D10" s="48">
        <v>86</v>
      </c>
      <c r="E10" s="46">
        <v>1000</v>
      </c>
      <c r="F10" s="4" t="s">
        <v>4</v>
      </c>
      <c r="G10" s="62">
        <v>1.0527534767183568</v>
      </c>
      <c r="H10" s="49">
        <v>68.5</v>
      </c>
      <c r="I10" s="4"/>
      <c r="J10" s="9">
        <f>D10*E10*G10*H10</f>
        <v>6201770.7313478403</v>
      </c>
      <c r="K10" s="54">
        <v>0.564877291956977</v>
      </c>
      <c r="L10" s="20">
        <f t="shared" ref="L10:L15" si="0">J10/$B$6</f>
        <v>0.54957349095535812</v>
      </c>
    </row>
    <row r="11" spans="1:12" x14ac:dyDescent="0.35">
      <c r="A11" s="4" t="s">
        <v>35</v>
      </c>
      <c r="B11" s="5" t="s">
        <v>36</v>
      </c>
      <c r="C11" s="8" t="s">
        <v>37</v>
      </c>
      <c r="D11" s="48">
        <v>8</v>
      </c>
      <c r="E11" s="46">
        <v>1000</v>
      </c>
      <c r="F11" s="4" t="s">
        <v>4</v>
      </c>
      <c r="G11" s="62">
        <v>1.0527534767183568</v>
      </c>
      <c r="H11" s="49">
        <v>70.41</v>
      </c>
      <c r="I11" s="4"/>
      <c r="J11" s="9">
        <f t="shared" ref="J11:J12" si="1">D11*E11*G11*H11</f>
        <v>592994.97836591594</v>
      </c>
      <c r="K11" s="54">
        <v>5.12785151071996E-2</v>
      </c>
      <c r="L11" s="20">
        <f t="shared" si="0"/>
        <v>5.2548592087138697E-2</v>
      </c>
    </row>
    <row r="12" spans="1:12" x14ac:dyDescent="0.35">
      <c r="A12" s="4" t="s">
        <v>38</v>
      </c>
      <c r="B12" s="5" t="s">
        <v>39</v>
      </c>
      <c r="C12" s="8" t="s">
        <v>40</v>
      </c>
      <c r="D12" s="48">
        <v>12</v>
      </c>
      <c r="E12" s="46">
        <v>1000</v>
      </c>
      <c r="F12" s="4" t="s">
        <v>22</v>
      </c>
      <c r="G12" s="62">
        <v>1.2716013275517859</v>
      </c>
      <c r="H12" s="49">
        <v>39.69</v>
      </c>
      <c r="I12" s="4"/>
      <c r="J12" s="9">
        <f t="shared" si="1"/>
        <v>605638.28028636461</v>
      </c>
      <c r="K12" s="54">
        <v>5.45664931044667E-2</v>
      </c>
      <c r="L12" s="20">
        <f t="shared" si="0"/>
        <v>5.3668985580323091E-2</v>
      </c>
    </row>
    <row r="13" spans="1:12" x14ac:dyDescent="0.35">
      <c r="A13" s="4" t="s">
        <v>30</v>
      </c>
      <c r="B13" s="5" t="s">
        <v>31</v>
      </c>
      <c r="C13" s="8" t="s">
        <v>32</v>
      </c>
      <c r="D13" s="48">
        <v>63</v>
      </c>
      <c r="E13" s="46">
        <v>1000</v>
      </c>
      <c r="F13" s="4" t="s">
        <v>5</v>
      </c>
      <c r="G13" s="47"/>
      <c r="H13" s="49">
        <v>32.11</v>
      </c>
      <c r="I13" s="4"/>
      <c r="J13" s="9">
        <f>D13*E13*H13</f>
        <v>2022930</v>
      </c>
      <c r="K13" s="54">
        <v>0.18759141327745399</v>
      </c>
      <c r="L13" s="20">
        <f t="shared" si="0"/>
        <v>0.17926310891159056</v>
      </c>
    </row>
    <row r="14" spans="1:12" x14ac:dyDescent="0.35">
      <c r="A14" s="4" t="s">
        <v>41</v>
      </c>
      <c r="B14" s="5" t="s">
        <v>42</v>
      </c>
      <c r="C14" s="8" t="s">
        <v>43</v>
      </c>
      <c r="D14" s="48">
        <v>16</v>
      </c>
      <c r="E14" s="46">
        <v>1000</v>
      </c>
      <c r="F14" s="4" t="s">
        <v>5</v>
      </c>
      <c r="G14" s="47"/>
      <c r="H14" s="49">
        <v>34.11</v>
      </c>
      <c r="I14" s="4"/>
      <c r="J14" s="9">
        <f>D14*E14*H14</f>
        <v>545760</v>
      </c>
      <c r="K14" s="54">
        <v>4.7033214170779797E-2</v>
      </c>
      <c r="L14" s="20">
        <f t="shared" ref="L14" si="2">J14/$B$6</f>
        <v>4.8362837230942084E-2</v>
      </c>
    </row>
    <row r="15" spans="1:12" x14ac:dyDescent="0.35">
      <c r="A15" s="4" t="s">
        <v>44</v>
      </c>
      <c r="B15" s="5" t="s">
        <v>45</v>
      </c>
      <c r="C15" s="8" t="s">
        <v>46</v>
      </c>
      <c r="D15" s="48">
        <v>24</v>
      </c>
      <c r="E15" s="46">
        <v>1000</v>
      </c>
      <c r="F15" s="4" t="s">
        <v>5</v>
      </c>
      <c r="G15" s="4"/>
      <c r="H15" s="49">
        <v>21.88</v>
      </c>
      <c r="I15" s="4"/>
      <c r="J15" s="9">
        <f>D15*E15*H15</f>
        <v>525120</v>
      </c>
      <c r="K15" s="54">
        <v>4.89254745907639E-2</v>
      </c>
      <c r="L15" s="20">
        <f t="shared" si="0"/>
        <v>4.6533811724406897E-2</v>
      </c>
    </row>
    <row r="16" spans="1:12" ht="15" thickBot="1" x14ac:dyDescent="0.4">
      <c r="A16" s="11" t="s">
        <v>47</v>
      </c>
      <c r="B16" s="12" t="s">
        <v>48</v>
      </c>
      <c r="C16" s="12" t="s">
        <v>49</v>
      </c>
      <c r="D16" s="50">
        <v>10</v>
      </c>
      <c r="E16" s="51">
        <v>1000</v>
      </c>
      <c r="F16" s="11" t="s">
        <v>5</v>
      </c>
      <c r="G16" s="11"/>
      <c r="H16" s="52">
        <v>51.75</v>
      </c>
      <c r="I16" s="11"/>
      <c r="J16" s="13">
        <f>D16*E16*H16</f>
        <v>517500</v>
      </c>
      <c r="K16" s="55">
        <v>4.5727597792358299E-2</v>
      </c>
      <c r="L16" s="20">
        <f>J16/$B$6</f>
        <v>4.5858561028680238E-2</v>
      </c>
    </row>
    <row r="17" spans="1:13" ht="15" thickBot="1" x14ac:dyDescent="0.4">
      <c r="J17" s="33">
        <f>SUM(J10:J16)</f>
        <v>11011713.990000121</v>
      </c>
      <c r="K17" s="34">
        <f>SUM(K10:K16)</f>
        <v>0.99999999999999933</v>
      </c>
      <c r="L17" s="35">
        <f>SUM(L10:L16)</f>
        <v>0.9758093875184396</v>
      </c>
    </row>
    <row r="18" spans="1:13" x14ac:dyDescent="0.35">
      <c r="J18" s="18"/>
      <c r="K18" s="18"/>
    </row>
    <row r="19" spans="1:13" x14ac:dyDescent="0.35">
      <c r="J19" s="18"/>
      <c r="K19" s="18"/>
      <c r="L19" s="18"/>
    </row>
    <row r="20" spans="1:13" ht="15" thickBot="1" x14ac:dyDescent="0.4">
      <c r="A20" s="2" t="s">
        <v>12</v>
      </c>
    </row>
    <row r="21" spans="1:13" ht="29.5" thickBot="1" x14ac:dyDescent="0.4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5">
      <c r="A22" s="4" t="s">
        <v>8</v>
      </c>
      <c r="B22" s="5" t="s">
        <v>50</v>
      </c>
      <c r="C22" s="5" t="s">
        <v>55</v>
      </c>
      <c r="D22" s="48">
        <v>50</v>
      </c>
      <c r="E22" s="46">
        <v>125000</v>
      </c>
      <c r="F22" s="4" t="s">
        <v>5</v>
      </c>
      <c r="G22" s="22"/>
      <c r="H22" s="53">
        <v>1.0608</v>
      </c>
      <c r="I22" s="22"/>
      <c r="J22" s="6">
        <f>D22*E22*H22</f>
        <v>6630000</v>
      </c>
      <c r="K22" s="26">
        <f>SUM(K10:K11)</f>
        <v>0.61615580706417661</v>
      </c>
      <c r="L22" s="24">
        <f>SUM(J22:J24)/$B$6</f>
        <v>0.62169838336340977</v>
      </c>
      <c r="M22" s="18"/>
    </row>
    <row r="23" spans="1:13" x14ac:dyDescent="0.35">
      <c r="A23" s="4" t="s">
        <v>51</v>
      </c>
      <c r="B23" s="5"/>
      <c r="C23" s="5"/>
      <c r="D23" s="49"/>
      <c r="E23" s="60">
        <v>1</v>
      </c>
      <c r="F23" s="4" t="s">
        <v>4</v>
      </c>
      <c r="G23" s="66">
        <v>1.0527534767183568</v>
      </c>
      <c r="H23" s="4"/>
      <c r="I23" s="4"/>
      <c r="J23" s="6">
        <f>D23*G23</f>
        <v>0</v>
      </c>
      <c r="K23" s="26"/>
      <c r="L23" s="24"/>
    </row>
    <row r="24" spans="1:13" ht="15" thickBot="1" x14ac:dyDescent="0.4">
      <c r="A24" s="64" t="s">
        <v>52</v>
      </c>
      <c r="B24" s="12"/>
      <c r="C24" s="12"/>
      <c r="D24" s="52">
        <v>366352</v>
      </c>
      <c r="E24" s="25">
        <v>1</v>
      </c>
      <c r="F24" s="11" t="s">
        <v>4</v>
      </c>
      <c r="G24" s="61">
        <v>1.0527534767183568</v>
      </c>
      <c r="H24" s="11"/>
      <c r="I24" s="11"/>
      <c r="J24" s="13">
        <f>D24*G24</f>
        <v>385678.34170272347</v>
      </c>
      <c r="K24" s="27"/>
      <c r="L24" s="28"/>
    </row>
    <row r="25" spans="1:13" x14ac:dyDescent="0.35">
      <c r="A25" s="7" t="s">
        <v>53</v>
      </c>
      <c r="B25" s="7"/>
      <c r="C25" s="7"/>
      <c r="D25" s="67"/>
      <c r="E25" s="23">
        <v>1</v>
      </c>
      <c r="F25" s="7" t="s">
        <v>22</v>
      </c>
      <c r="G25" s="68">
        <v>1.2716013275517859</v>
      </c>
      <c r="H25" s="7"/>
      <c r="I25" s="7"/>
      <c r="J25" s="9">
        <f>D25*G25</f>
        <v>0</v>
      </c>
      <c r="K25" s="69">
        <f>K12</f>
        <v>5.45664931044667E-2</v>
      </c>
      <c r="L25" s="69">
        <f>(SUM(J25:J26))/B6</f>
        <v>4.589696644568371E-2</v>
      </c>
    </row>
    <row r="26" spans="1:13" ht="15" thickBot="1" x14ac:dyDescent="0.4">
      <c r="A26" s="64" t="s">
        <v>54</v>
      </c>
      <c r="B26" s="11"/>
      <c r="C26" s="11"/>
      <c r="D26" s="52">
        <v>407308</v>
      </c>
      <c r="E26" s="25">
        <v>1</v>
      </c>
      <c r="F26" s="11" t="s">
        <v>22</v>
      </c>
      <c r="G26" s="61">
        <v>1.2716013275517859</v>
      </c>
      <c r="H26" s="11"/>
      <c r="I26" s="11"/>
      <c r="J26" s="13">
        <f>D26*G26</f>
        <v>517933.39352246281</v>
      </c>
      <c r="K26" s="27"/>
      <c r="L26" s="27"/>
    </row>
    <row r="27" spans="1:13" x14ac:dyDescent="0.35">
      <c r="A27" s="7" t="s">
        <v>8</v>
      </c>
      <c r="B27" s="8" t="s">
        <v>50</v>
      </c>
      <c r="C27" s="8" t="s">
        <v>55</v>
      </c>
      <c r="D27" s="46">
        <v>-50</v>
      </c>
      <c r="E27" s="23">
        <v>-125000</v>
      </c>
      <c r="F27" s="7" t="s">
        <v>5</v>
      </c>
      <c r="G27" s="7"/>
      <c r="H27" s="7"/>
      <c r="I27" s="7"/>
      <c r="J27" s="9">
        <f>-J22</f>
        <v>-6630000</v>
      </c>
      <c r="K27" s="65">
        <f>SUM(K13:K16)</f>
        <v>0.32927769983135596</v>
      </c>
      <c r="L27" s="20">
        <f>SUM(J27:J31)/$B$6</f>
        <v>0.3348885111365697</v>
      </c>
    </row>
    <row r="28" spans="1:13" x14ac:dyDescent="0.35">
      <c r="A28" s="5" t="s">
        <v>13</v>
      </c>
      <c r="B28" s="5"/>
      <c r="C28" s="5"/>
      <c r="D28" s="49">
        <v>1798943.14</v>
      </c>
      <c r="E28" s="23">
        <v>1</v>
      </c>
      <c r="F28" s="7" t="s">
        <v>5</v>
      </c>
      <c r="G28" s="7"/>
      <c r="H28" s="4"/>
      <c r="I28" s="4"/>
      <c r="J28" s="6">
        <f>D28</f>
        <v>1798943.14</v>
      </c>
      <c r="K28" s="4"/>
      <c r="L28" s="4"/>
    </row>
    <row r="29" spans="1:13" x14ac:dyDescent="0.35">
      <c r="A29" s="5" t="s">
        <v>14</v>
      </c>
      <c r="B29" s="5"/>
      <c r="C29" s="5"/>
      <c r="D29" s="49">
        <v>8908856.8699999992</v>
      </c>
      <c r="E29" s="23">
        <v>1</v>
      </c>
      <c r="F29" s="7" t="s">
        <v>5</v>
      </c>
      <c r="G29" s="7"/>
      <c r="H29" s="4"/>
      <c r="I29" s="4"/>
      <c r="J29" s="6">
        <f>D29-J26-J24</f>
        <v>8005245.1347748134</v>
      </c>
      <c r="K29" s="4"/>
      <c r="L29" s="4"/>
    </row>
    <row r="30" spans="1:13" x14ac:dyDescent="0.35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4">
      <c r="A31" s="12" t="s">
        <v>23</v>
      </c>
      <c r="B31" s="12"/>
      <c r="C31" s="12"/>
      <c r="D31" s="30">
        <v>604927.35</v>
      </c>
      <c r="E31" s="25">
        <v>1</v>
      </c>
      <c r="F31" s="11" t="s">
        <v>5</v>
      </c>
      <c r="G31" s="11"/>
      <c r="H31" s="11"/>
      <c r="I31" s="11"/>
      <c r="J31" s="13">
        <f>D31</f>
        <v>604927.35</v>
      </c>
      <c r="K31" s="11"/>
      <c r="L31" s="11"/>
    </row>
    <row r="32" spans="1:13" ht="15" thickBot="1" x14ac:dyDescent="0.4">
      <c r="A32" s="1"/>
      <c r="B32" s="1"/>
      <c r="C32" s="1"/>
      <c r="D32" s="36"/>
      <c r="E32" s="1"/>
      <c r="J32" s="33">
        <f>SUM(J22:J31)</f>
        <v>11312727.359999999</v>
      </c>
      <c r="K32" s="42">
        <f>SUM(K22:K31)</f>
        <v>0.99999999999999933</v>
      </c>
      <c r="L32" s="42">
        <f>SUM(L22:L31)</f>
        <v>1.0024838609456632</v>
      </c>
    </row>
    <row r="33" spans="1:12" x14ac:dyDescent="0.35">
      <c r="A33" s="1"/>
      <c r="B33" s="36"/>
      <c r="C33" s="1"/>
      <c r="D33" s="1"/>
      <c r="E33" s="1"/>
    </row>
    <row r="34" spans="1:12" x14ac:dyDescent="0.35">
      <c r="A34" s="1"/>
      <c r="B34" s="1"/>
      <c r="C34" s="1"/>
      <c r="D34" s="1"/>
      <c r="E34" s="1"/>
    </row>
    <row r="35" spans="1:12" ht="15" thickBot="1" x14ac:dyDescent="0.4">
      <c r="A35" s="2" t="s">
        <v>16</v>
      </c>
    </row>
    <row r="36" spans="1:12" ht="29.5" thickBot="1" x14ac:dyDescent="0.4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5">
      <c r="A37" s="22" t="s">
        <v>8</v>
      </c>
      <c r="B37" s="38" t="s">
        <v>50</v>
      </c>
      <c r="C37" s="38" t="s">
        <v>55</v>
      </c>
      <c r="D37" s="23">
        <v>50</v>
      </c>
      <c r="E37" s="23">
        <v>125000</v>
      </c>
      <c r="F37" s="4" t="s">
        <v>5</v>
      </c>
      <c r="G37" s="22"/>
      <c r="H37" s="31">
        <v>1.0608</v>
      </c>
      <c r="I37" s="22"/>
      <c r="J37" s="6">
        <f>J22</f>
        <v>6630000</v>
      </c>
      <c r="K37" s="26">
        <f>SUM(K10:K11)</f>
        <v>0.61615580706417661</v>
      </c>
      <c r="L37" s="24">
        <f>SUM(J37:J39)/$B$6</f>
        <v>0.62169838336340977</v>
      </c>
    </row>
    <row r="38" spans="1:12" x14ac:dyDescent="0.35">
      <c r="A38" s="4" t="s">
        <v>51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4">
      <c r="A39" s="11" t="s">
        <v>52</v>
      </c>
      <c r="B39" s="11"/>
      <c r="C39" s="11"/>
      <c r="D39" s="29">
        <v>366352</v>
      </c>
      <c r="E39" s="25"/>
      <c r="F39" s="11" t="s">
        <v>4</v>
      </c>
      <c r="G39" s="11"/>
      <c r="H39" s="11"/>
      <c r="I39" s="11"/>
      <c r="J39" s="29">
        <f>J24</f>
        <v>385678.34170272347</v>
      </c>
      <c r="K39" s="27"/>
      <c r="L39" s="28"/>
    </row>
    <row r="40" spans="1:12" x14ac:dyDescent="0.35">
      <c r="A40" s="7" t="s">
        <v>53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5.45664931044667E-2</v>
      </c>
      <c r="L40" s="69">
        <f>(SUM(J40:J41))/$B$6</f>
        <v>4.589696644568371E-2</v>
      </c>
    </row>
    <row r="41" spans="1:12" ht="15" thickBot="1" x14ac:dyDescent="0.4">
      <c r="A41" s="11" t="s">
        <v>54</v>
      </c>
      <c r="B41" s="11"/>
      <c r="C41" s="11"/>
      <c r="D41" s="29">
        <v>407308</v>
      </c>
      <c r="E41" s="25"/>
      <c r="F41" s="11" t="s">
        <v>22</v>
      </c>
      <c r="G41" s="11"/>
      <c r="H41" s="11"/>
      <c r="I41" s="11"/>
      <c r="J41" s="29">
        <f>J26</f>
        <v>517933.39352246281</v>
      </c>
      <c r="K41" s="27"/>
      <c r="L41" s="27"/>
    </row>
    <row r="42" spans="1:12" ht="15" thickBot="1" x14ac:dyDescent="0.4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3779115.6247748132</v>
      </c>
      <c r="K42" s="71">
        <f>K27</f>
        <v>0.32927769983135596</v>
      </c>
      <c r="L42" s="71">
        <f>L27</f>
        <v>0.3348885111365697</v>
      </c>
    </row>
    <row r="43" spans="1:12" ht="15" thickBot="1" x14ac:dyDescent="0.4">
      <c r="A43" s="1"/>
      <c r="B43" s="1"/>
      <c r="C43" s="1"/>
      <c r="D43" s="1"/>
      <c r="E43" s="1"/>
      <c r="J43" s="33">
        <f>SUM(J37:J42)</f>
        <v>11312727.359999999</v>
      </c>
      <c r="K43" s="42">
        <f>SUM(K37:K42)</f>
        <v>0.99999999999999933</v>
      </c>
      <c r="L43" s="42">
        <f>SUM(L37:L42)</f>
        <v>1.0024838609456632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5" x14ac:dyDescent="0.35"/>
  <sheetData>
    <row r="1" spans="1:1" x14ac:dyDescent="0.35">
      <c r="A1">
        <v>0.53150512768211999</v>
      </c>
    </row>
    <row r="2" spans="1:1" x14ac:dyDescent="0.35">
      <c r="A2">
        <v>4.8348461509626003E-2</v>
      </c>
    </row>
    <row r="3" spans="1:1" x14ac:dyDescent="0.35">
      <c r="A3">
        <v>4.2458965153239901E-2</v>
      </c>
    </row>
    <row r="4" spans="1:1" x14ac:dyDescent="0.35">
      <c r="A4">
        <v>0.25831111340204599</v>
      </c>
    </row>
    <row r="5" spans="1:1" x14ac:dyDescent="0.35">
      <c r="A5">
        <v>5.16466174012679E-2</v>
      </c>
    </row>
    <row r="6" spans="1:1" x14ac:dyDescent="0.35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Georgia Kammas</cp:lastModifiedBy>
  <cp:lastPrinted>2023-10-26T11:58:35Z</cp:lastPrinted>
  <dcterms:created xsi:type="dcterms:W3CDTF">2020-10-26T15:50:05Z</dcterms:created>
  <dcterms:modified xsi:type="dcterms:W3CDTF">2025-03-05T15:14:07Z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