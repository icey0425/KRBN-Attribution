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64" documentId="8_{F2230563-190A-4085-9F9F-296C351216BD}" xr6:coauthVersionLast="47" xr6:coauthVersionMax="47" xr10:uidLastSave="{D3F0F55D-71DD-43CF-AD69-7683E64F0A12}"/>
  <bookViews>
    <workbookView xWindow="34725" yWindow="5025" windowWidth="22110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 a="1"/>
  <c r="G10" i="1"/>
  <c r="H12" i="1" a="1"/>
  <c r="H12" i="1"/>
  <c r="G12" i="1" a="1"/>
  <c r="G12" i="1"/>
  <c r="H10" i="1" a="1"/>
  <c r="H10" i="1"/>
  <c r="H11" i="1" a="1"/>
  <c r="H11" i="1"/>
  <c r="B6" i="1" a="1"/>
  <c r="B6" i="1"/>
  <c r="B5" i="1" a="1"/>
  <c r="B5" i="1"/>
  <c r="H22" i="1" a="1"/>
  <c r="H22" i="1"/>
  <c r="C22" i="1" a="1"/>
  <c r="C22" i="1"/>
  <c r="J31" i="1"/>
  <c r="J28" i="1"/>
  <c r="B27" i="1"/>
  <c r="K25" i="1"/>
  <c r="K22" i="1"/>
  <c r="J22" i="1" l="1"/>
  <c r="C27" i="1" l="1"/>
  <c r="J27" i="1"/>
  <c r="K17" i="1"/>
  <c r="J16" i="1"/>
  <c r="J15" i="1"/>
  <c r="J14" i="1"/>
  <c r="J13" i="1"/>
  <c r="G26" i="1" l="1"/>
  <c r="J26" i="1" s="1"/>
  <c r="G25" i="1"/>
  <c r="J25" i="1" s="1"/>
  <c r="J12" i="1"/>
  <c r="G24" i="1" l="1"/>
  <c r="J24" i="1" s="1"/>
  <c r="J29" i="1" s="1"/>
  <c r="G23" i="1"/>
  <c r="J23" i="1" s="1"/>
  <c r="J32" i="1" s="1"/>
  <c r="J10" i="1"/>
  <c r="G11" i="1"/>
  <c r="J11" i="1" s="1"/>
  <c r="L11" i="1" s="1"/>
  <c r="J17" i="1" l="1"/>
  <c r="L10" i="1"/>
  <c r="L22" i="1"/>
  <c r="L14" i="1"/>
  <c r="L15" i="1"/>
  <c r="L27" i="1"/>
  <c r="L13" i="1"/>
  <c r="L16" i="1"/>
  <c r="L12" i="1"/>
  <c r="L25" i="1"/>
  <c r="M25" i="1" s="1"/>
  <c r="B38" i="1" s="1"/>
  <c r="A38" i="1" s="1"/>
  <c r="J7" i="1"/>
  <c r="K4" i="1"/>
  <c r="L17" i="1" l="1"/>
  <c r="K27" i="1"/>
  <c r="K32" i="1" s="1"/>
  <c r="L32" i="1"/>
  <c r="M22" i="1"/>
  <c r="C37" i="1" l="1"/>
  <c r="B37" i="1"/>
  <c r="A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Jeffrey Casey</author>
  </authors>
  <commentList>
    <comment ref="B3" authorId="0" shapeId="0" xr:uid="{D90E633B-F374-4A08-AE53-93F9D3EF7055}">
      <text>
        <r>
          <rPr>
            <b/>
            <sz val="9"/>
            <color indexed="81"/>
            <rFont val="Tahoma"/>
            <family val="2"/>
          </rPr>
          <t>Jeffrey Casey:</t>
        </r>
        <r>
          <rPr>
            <sz val="9"/>
            <color indexed="81"/>
            <rFont val="Tahoma"/>
            <family val="2"/>
          </rPr>
          <t xml:space="preserve">
StoneX statement date (prior business day)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<sst xmlns="http://schemas.openxmlformats.org/spreadsheetml/2006/main" count="84" uniqueCount="60">
  <si>
    <t>Security Name</t>
  </si>
  <si>
    <t>Contract</t>
  </si>
  <si>
    <t>FX</t>
  </si>
  <si>
    <t>Ccy</t>
  </si>
  <si>
    <t>EUR</t>
  </si>
  <si>
    <t>USD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</si>
  <si>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</si>
  <si>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</si>
  <si>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</si>
  <si>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</si>
  <si>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</si>
  <si>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</si>
  <si>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</si>
  <si>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</si>
  <si>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Current Exposure (USD)</t>
  </si>
  <si>
    <t>Position</t>
  </si>
  <si>
    <t>Total Assets:</t>
  </si>
  <si>
    <t>Create units:</t>
  </si>
  <si>
    <t>Inflows/Outflows:</t>
  </si>
  <si>
    <t>GBP</t>
  </si>
  <si>
    <t>StoneX EUAs Limit:</t>
  </si>
  <si>
    <t>Remaining Balance:</t>
  </si>
  <si>
    <t>USD Cash</t>
  </si>
  <si>
    <t>CFC % of Fund AUM:</t>
  </si>
  <si>
    <t>Futures</t>
  </si>
  <si>
    <t>usd</t>
  </si>
  <si>
    <t>eur/gbp</t>
  </si>
  <si>
    <t>ccy futs</t>
  </si>
  <si>
    <t>Statement Date:</t>
  </si>
  <si>
    <t>EUA 25</t>
  </si>
  <si>
    <t>MOZ25 Comdty</t>
  </si>
  <si>
    <t>ICE ECX Emission  Dec25</t>
  </si>
  <si>
    <t>CCA 25</t>
  </si>
  <si>
    <t>BCYZ25 Comdty</t>
  </si>
  <si>
    <t>CA Carbon Allow V25 Dec25</t>
  </si>
  <si>
    <t>Currency Adj's</t>
  </si>
  <si>
    <t>Last Price</t>
  </si>
  <si>
    <t>Current Price</t>
  </si>
  <si>
    <t>KRBN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</si>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</sst>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0" fontId="0" fillId="0" borderId="6" xfId="0" quotePrefix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0" fontId="0" fillId="0" borderId="11" xfId="0" applyBorder="1"/>
    <xf numFmtId="164" fontId="0" fillId="0" borderId="12" xfId="1" applyNumberFormat="1" applyFont="1" applyBorder="1"/>
    <xf numFmtId="0" fontId="2" fillId="0" borderId="13" xfId="0" applyFont="1" applyBorder="1"/>
    <xf numFmtId="164" fontId="2" fillId="0" borderId="14" xfId="1" applyNumberFormat="1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43" fontId="2" fillId="0" borderId="1" xfId="1" applyFont="1" applyFill="1" applyBorder="1"/>
    <xf numFmtId="164" fontId="1" fillId="0" borderId="7" xfId="1" applyNumberFormat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0" fontId="0" fillId="0" borderId="0" xfId="3" applyNumberFormat="1" applyFont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0" fontId="4" fillId="3" borderId="1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2" fillId="6" borderId="1" xfId="1" applyNumberFormat="1" applyFont="1" applyFill="1" applyBorder="1"/>
    <xf numFmtId="164" fontId="2" fillId="6" borderId="7" xfId="1" applyNumberFormat="1" applyFont="1" applyFill="1" applyBorder="1"/>
    <xf numFmtId="164" fontId="1" fillId="6" borderId="3" xfId="1" applyNumberFormat="1" applyFont="1" applyFill="1" applyBorder="1"/>
    <xf numFmtId="43" fontId="2" fillId="6" borderId="1" xfId="1" applyFont="1" applyFill="1" applyBorder="1"/>
    <xf numFmtId="43" fontId="2" fillId="6" borderId="6" xfId="1" applyFont="1" applyFill="1" applyBorder="1"/>
    <xf numFmtId="43" fontId="2" fillId="6" borderId="7" xfId="1" applyFont="1" applyFill="1" applyBorder="1"/>
    <xf numFmtId="0" fontId="0" fillId="5" borderId="0" xfId="0" applyFill="1"/>
    <xf numFmtId="14" fontId="0" fillId="5" borderId="0" xfId="0" applyNumberFormat="1" applyFill="1"/>
    <xf numFmtId="0" fontId="2" fillId="7" borderId="0" xfId="0" applyFont="1" applyFill="1"/>
    <xf numFmtId="164" fontId="0" fillId="0" borderId="0" xfId="1" applyNumberFormat="1" applyFont="1"/>
    <xf numFmtId="43" fontId="2" fillId="0" borderId="0" xfId="0" applyNumberFormat="1" applyFont="1"/>
    <xf numFmtId="44" fontId="2" fillId="8" borderId="0" xfId="2" applyFont="1" applyFill="1"/>
    <xf numFmtId="166" fontId="0" fillId="0" borderId="3" xfId="0" applyNumberFormat="1" applyBorder="1"/>
    <xf numFmtId="167" fontId="0" fillId="0" borderId="1" xfId="0" applyNumberFormat="1" applyBorder="1"/>
    <xf numFmtId="43" fontId="2" fillId="6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BDH|14617370752970523025</stp>
        <tr r="B5" s="1"/>
      </tp>
      <tp>
        <v>25.704999999999998</v>
        <stp/>
        <stp>BDP|11370527903261767331|22</stp>
        <stp>krbn us equity</stp>
        <stp>mid</stp>
        <tr r="B6" s="1"/>
      </tp>
      <tp t="s">
        <v>#N/A Requesting Data...3451566116</v>
        <stp/>
        <stp>BDP|10848171237214495748</stp>
        <tr r="H22" s="1"/>
      </tp>
      <tp t="s">
        <v>#N/A Requesting Data...2155651111</v>
        <stp/>
        <stp>BDP|17799441570505126091</stp>
        <tr r="H12" s="1"/>
      </tp>
      <tp t="s">
        <v>#N/A Requesting Data...2228950119</v>
        <stp/>
        <stp>BDP|17965589105622217699</stp>
        <tr r="G10" s="1"/>
      </tp>
      <tp t="s">
        <v>#N/A Requesting Data...3197659505</v>
        <stp/>
        <stp>BDP|16823041347227972141</stp>
        <tr r="G12" s="1"/>
      </tp>
    </main>
    <main first="bofaddin.rtdserver">
      <tp t="s">
        <v>#N/A Requesting Data...2510931986</v>
        <stp/>
        <stp>BDP|6127870020513594279</stp>
        <tr r="B6" s="1"/>
      </tp>
      <tp t="s">
        <v>#N/A Requesting Data...2910493542</v>
        <stp/>
        <stp>BDP|1568567229108705884</stp>
        <tr r="H10" s="1"/>
      </tp>
      <tp t="s">
        <v>#N/A Requesting Data...3690738529</v>
        <stp/>
        <stp>BDP|6263230909792667152</stp>
        <tr r="B6" s="1"/>
      </tp>
      <tp t="s">
        <v>#N/A Requesting Data...3890915058</v>
        <stp/>
        <stp>BDP|1522723511645302347</stp>
        <tr r="H11" s="1"/>
      </tp>
      <tp t="s">
        <v>#N/A Requesting Data...3812062478</v>
        <stp/>
        <stp>BDP|4265635040775252104</stp>
        <tr r="C2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volatileDependencies" Target="volatileDependenci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P40"/>
  <sheetViews>
    <sheetView tabSelected="1" zoomScale="90" zoomScaleNormal="90" workbookViewId="0">
      <selection activeCell="B3" sqref="B3"/>
    </sheetView>
  </sheetViews>
  <sheetFormatPr defaultRowHeight="14.4" x14ac:dyDescent="0.3"/>
  <cols>
    <col min="1" max="1" width="17.77734375" customWidth="1"/>
    <col min="2" max="2" width="21.44140625" customWidth="1"/>
    <col min="3" max="3" width="26.88671875" bestFit="1" customWidth="1"/>
    <col min="4" max="4" width="17.21875" customWidth="1"/>
    <col min="5" max="5" width="10.77734375" customWidth="1"/>
    <col min="6" max="6" width="7.21875" customWidth="1"/>
    <col min="7" max="8" width="14.109375" bestFit="1" customWidth="1"/>
    <col min="9" max="9" width="1.77734375" customWidth="1"/>
    <col min="10" max="10" width="24.44140625" customWidth="1"/>
    <col min="11" max="11" width="17.21875" customWidth="1"/>
    <col min="12" max="12" width="17.5546875" customWidth="1"/>
    <col min="13" max="13" width="16.5546875" customWidth="1"/>
    <col min="14" max="14" width="15.21875" bestFit="1" customWidth="1"/>
    <col min="15" max="15" width="14.5546875" bestFit="1" customWidth="1"/>
  </cols>
  <sheetData>
    <row r="1" spans="1:12" ht="23.1" customHeight="1" x14ac:dyDescent="0.45">
      <c r="A1" s="30" t="s">
        <v>38</v>
      </c>
      <c r="B1" s="22"/>
      <c r="C1" s="22"/>
      <c r="D1" s="22"/>
      <c r="E1" s="22"/>
      <c r="J1" s="37"/>
      <c r="K1" s="38"/>
      <c r="L1" s="39"/>
    </row>
    <row r="2" spans="1:12" ht="23.1" customHeight="1" thickBot="1" x14ac:dyDescent="0.35">
      <c r="A2" t="s">
        <v>39</v>
      </c>
      <c r="J2" s="37"/>
      <c r="K2" s="38"/>
      <c r="L2" s="39"/>
    </row>
    <row r="3" spans="1:12" x14ac:dyDescent="0.3">
      <c r="A3" t="s">
        <v>28</v>
      </c>
      <c r="B3" s="64">
        <v>45756</v>
      </c>
      <c r="J3" s="40" t="s">
        <v>20</v>
      </c>
      <c r="K3" s="41">
        <v>20000</v>
      </c>
    </row>
    <row r="4" spans="1:12" ht="15" thickBot="1" x14ac:dyDescent="0.35">
      <c r="A4" t="s">
        <v>17</v>
      </c>
      <c r="B4" s="63">
        <v>0</v>
      </c>
      <c r="J4" s="42" t="s">
        <v>21</v>
      </c>
      <c r="K4" s="43">
        <f>K3-(SUM(D10:D11))</f>
        <v>19906</v>
      </c>
    </row>
    <row r="5" spans="1:12" x14ac:dyDescent="0.3">
      <c r="A5" t="s">
        <v>18</v>
      </c>
      <c r="B5" s="2" cm="1">
        <f t="array" ref="B5">(_xll.BDH("krbn us equity","FUND_NET_ASSET_VAL",B3))*50000*B4</f>
        <v>0</v>
      </c>
    </row>
    <row r="6" spans="1:12" x14ac:dyDescent="0.3">
      <c r="A6" s="3" t="s">
        <v>16</v>
      </c>
      <c r="B6" s="68" cm="1">
        <f t="array" ref="B6">((((_xll.BDP("krbn us equity","mid"))/(_xll.BDP("krbn us equity","fund net asset val")))*(_xll.BDP("krbn im equity","fund net asset val")))*465000)</f>
        <v>10589711.361008337</v>
      </c>
      <c r="J6" t="s">
        <v>23</v>
      </c>
    </row>
    <row r="7" spans="1:12" x14ac:dyDescent="0.3">
      <c r="J7" s="51">
        <f>(D28+D29)/B6</f>
        <v>0.92462125228951186</v>
      </c>
      <c r="K7" s="19"/>
    </row>
    <row r="8" spans="1:12" ht="15" thickBot="1" x14ac:dyDescent="0.35">
      <c r="A8" s="3" t="s">
        <v>24</v>
      </c>
    </row>
    <row r="9" spans="1:12" s="4" customFormat="1" ht="29.4" thickBot="1" x14ac:dyDescent="0.35">
      <c r="A9" s="16" t="s">
        <v>1</v>
      </c>
      <c r="B9" s="17" t="s">
        <v>6</v>
      </c>
      <c r="C9" s="17" t="s">
        <v>0</v>
      </c>
      <c r="D9" s="11" t="s">
        <v>15</v>
      </c>
      <c r="E9" s="11" t="s">
        <v>8</v>
      </c>
      <c r="F9" s="11" t="s">
        <v>3</v>
      </c>
      <c r="G9" s="11" t="s">
        <v>2</v>
      </c>
      <c r="H9" s="11" t="s">
        <v>37</v>
      </c>
      <c r="I9" s="18"/>
      <c r="J9" s="15" t="s">
        <v>14</v>
      </c>
      <c r="K9" s="20" t="s">
        <v>10</v>
      </c>
      <c r="L9" s="20" t="s">
        <v>9</v>
      </c>
    </row>
    <row r="10" spans="1:12" x14ac:dyDescent="0.3">
      <c r="A10" s="5" t="s">
        <v>29</v>
      </c>
      <c r="B10" s="6" t="s">
        <v>30</v>
      </c>
      <c r="C10" s="9" t="s">
        <v>31</v>
      </c>
      <c r="D10" s="57">
        <v>86</v>
      </c>
      <c r="E10" s="44">
        <v>1000</v>
      </c>
      <c r="F10" s="5" t="s">
        <v>4</v>
      </c>
      <c r="G10" s="45" cm="1">
        <f t="array" ref="G10">_xll.BDP("eur curncy","px last")</f>
        <v>1.1187</v>
      </c>
      <c r="H10" s="46" cm="1">
        <f t="array" ref="H10">_xll.BDP(B10,"px last")</f>
        <v>62.04</v>
      </c>
      <c r="I10" s="5"/>
      <c r="J10" s="10">
        <f>D10*E10*G10*H10</f>
        <v>5968756.7280000001</v>
      </c>
      <c r="K10" s="49">
        <v>0.59322873922425701</v>
      </c>
      <c r="L10" s="21">
        <f t="shared" ref="L10:L15" si="0">J10/$B$6</f>
        <v>0.56363733859424703</v>
      </c>
    </row>
    <row r="11" spans="1:12" x14ac:dyDescent="0.3">
      <c r="A11" s="5" t="s">
        <v>40</v>
      </c>
      <c r="B11" s="6" t="s">
        <v>41</v>
      </c>
      <c r="C11" s="9" t="s">
        <v>42</v>
      </c>
      <c r="D11" s="57">
        <v>8</v>
      </c>
      <c r="E11" s="44">
        <v>1000</v>
      </c>
      <c r="F11" s="5" t="s">
        <v>4</v>
      </c>
      <c r="G11" s="45">
        <f>G10</f>
        <v>1.1187</v>
      </c>
      <c r="H11" s="46" cm="1">
        <f t="array" ref="H11">_xll.BDP(B11,"px last")</f>
        <v>63.800000000000004</v>
      </c>
      <c r="I11" s="5"/>
      <c r="J11" s="10">
        <f t="shared" ref="J11:J12" si="1">D11*E11*G11*H11</f>
        <v>570984.4800000001</v>
      </c>
      <c r="K11" s="49">
        <v>5.3869493783810299E-2</v>
      </c>
      <c r="L11" s="21">
        <f t="shared" si="0"/>
        <v>5.3918795379294622E-2</v>
      </c>
    </row>
    <row r="12" spans="1:12" x14ac:dyDescent="0.3">
      <c r="A12" s="5" t="s">
        <v>43</v>
      </c>
      <c r="B12" s="6" t="s">
        <v>44</v>
      </c>
      <c r="C12" s="9" t="s">
        <v>45</v>
      </c>
      <c r="D12" s="57">
        <v>12</v>
      </c>
      <c r="E12" s="44">
        <v>1000</v>
      </c>
      <c r="F12" s="5" t="s">
        <v>19</v>
      </c>
      <c r="G12" s="45" cm="1">
        <f t="array" ref="G12">_xll.BDP("gbp curncy","px last")</f>
        <v>1.2939000000000001</v>
      </c>
      <c r="H12" s="46" cm="1">
        <f t="array" ref="H12">_xll.BDP(B12,"px last")</f>
        <v>43.7</v>
      </c>
      <c r="I12" s="5"/>
      <c r="J12" s="10">
        <f t="shared" si="1"/>
        <v>678521.16000000015</v>
      </c>
      <c r="K12" s="49">
        <v>5.7587004941539302E-2</v>
      </c>
      <c r="L12" s="21">
        <f t="shared" si="0"/>
        <v>6.407362173234836E-2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7">
        <v>63</v>
      </c>
      <c r="E13" s="44">
        <v>1000</v>
      </c>
      <c r="F13" s="5" t="s">
        <v>5</v>
      </c>
      <c r="G13" s="45"/>
      <c r="H13" s="60">
        <v>27.36</v>
      </c>
      <c r="I13" s="5"/>
      <c r="J13" s="10">
        <f>D13*E13*H13</f>
        <v>1723680</v>
      </c>
      <c r="K13" s="49">
        <v>0.165351016994575</v>
      </c>
      <c r="L13" s="21">
        <f t="shared" si="0"/>
        <v>0.16276930893004751</v>
      </c>
    </row>
    <row r="14" spans="1:12" x14ac:dyDescent="0.3">
      <c r="A14" s="5" t="s">
        <v>46</v>
      </c>
      <c r="B14" s="6" t="s">
        <v>47</v>
      </c>
      <c r="C14" s="9" t="s">
        <v>48</v>
      </c>
      <c r="D14" s="57">
        <v>16</v>
      </c>
      <c r="E14" s="44">
        <v>1000</v>
      </c>
      <c r="F14" s="5" t="s">
        <v>5</v>
      </c>
      <c r="G14" s="45"/>
      <c r="H14" s="60">
        <v>29.12</v>
      </c>
      <c r="I14" s="5"/>
      <c r="J14" s="10">
        <f>D14*E14*H14</f>
        <v>465920</v>
      </c>
      <c r="K14" s="49">
        <v>4.1580682473767103E-2</v>
      </c>
      <c r="L14" s="21">
        <f t="shared" si="0"/>
        <v>4.3997422036971913E-2</v>
      </c>
    </row>
    <row r="15" spans="1:12" x14ac:dyDescent="0.3">
      <c r="A15" s="5" t="s">
        <v>49</v>
      </c>
      <c r="B15" s="6" t="s">
        <v>50</v>
      </c>
      <c r="C15" s="9" t="s">
        <v>51</v>
      </c>
      <c r="D15" s="57">
        <v>24</v>
      </c>
      <c r="E15" s="44">
        <v>1000</v>
      </c>
      <c r="F15" s="5" t="s">
        <v>5</v>
      </c>
      <c r="G15" s="5"/>
      <c r="H15" s="60">
        <v>18.600000000000001</v>
      </c>
      <c r="I15" s="5"/>
      <c r="J15" s="10">
        <f>D15*E15*H15</f>
        <v>446400.00000000006</v>
      </c>
      <c r="K15" s="49">
        <v>4.5263508581310598E-2</v>
      </c>
      <c r="L15" s="21">
        <f t="shared" si="0"/>
        <v>4.2154123448884494E-2</v>
      </c>
    </row>
    <row r="16" spans="1:12" ht="15" thickBot="1" x14ac:dyDescent="0.35">
      <c r="A16" s="12" t="s">
        <v>52</v>
      </c>
      <c r="B16" s="13" t="s">
        <v>53</v>
      </c>
      <c r="C16" s="13" t="s">
        <v>54</v>
      </c>
      <c r="D16" s="58">
        <v>10</v>
      </c>
      <c r="E16" s="47">
        <v>1000</v>
      </c>
      <c r="F16" s="12" t="s">
        <v>5</v>
      </c>
      <c r="G16" s="12"/>
      <c r="H16" s="62">
        <v>57.25</v>
      </c>
      <c r="I16" s="12"/>
      <c r="J16" s="14">
        <f>D16*E16*H16</f>
        <v>572500</v>
      </c>
      <c r="K16" s="50">
        <v>4.3119554000740502E-2</v>
      </c>
      <c r="L16" s="21">
        <f>J16/$B$6</f>
        <v>5.4061907872953334E-2</v>
      </c>
    </row>
    <row r="17" spans="1:16" ht="15" thickBot="1" x14ac:dyDescent="0.35">
      <c r="J17" s="31">
        <f>SUM(J10:J16)</f>
        <v>10426762.368000001</v>
      </c>
      <c r="K17" s="32">
        <f>SUM(K10:K16)</f>
        <v>0.99999999999999989</v>
      </c>
      <c r="L17" s="33">
        <f>SUM(L10:L16)</f>
        <v>0.98461251799474714</v>
      </c>
    </row>
    <row r="18" spans="1:16" x14ac:dyDescent="0.3">
      <c r="J18" s="19"/>
      <c r="K18" s="19"/>
    </row>
    <row r="19" spans="1:16" x14ac:dyDescent="0.3">
      <c r="J19" s="19"/>
      <c r="K19" s="19"/>
      <c r="L19" s="19"/>
    </row>
    <row r="20" spans="1:16" ht="15" thickBot="1" x14ac:dyDescent="0.35">
      <c r="A20" s="3" t="s">
        <v>11</v>
      </c>
    </row>
    <row r="21" spans="1:16" ht="29.4" thickBot="1" x14ac:dyDescent="0.35">
      <c r="A21" s="16" t="s">
        <v>1</v>
      </c>
      <c r="B21" s="17" t="s">
        <v>6</v>
      </c>
      <c r="C21" s="17" t="s">
        <v>0</v>
      </c>
      <c r="D21" s="11" t="s">
        <v>15</v>
      </c>
      <c r="E21" s="11" t="s">
        <v>8</v>
      </c>
      <c r="F21" s="11" t="s">
        <v>3</v>
      </c>
      <c r="G21" s="11" t="s">
        <v>2</v>
      </c>
      <c r="H21" s="11" t="s">
        <v>36</v>
      </c>
      <c r="I21" s="18"/>
      <c r="J21" s="15" t="s">
        <v>14</v>
      </c>
      <c r="K21" s="20" t="s">
        <v>10</v>
      </c>
      <c r="L21" s="20" t="s">
        <v>9</v>
      </c>
      <c r="M21" s="55" t="s">
        <v>25</v>
      </c>
    </row>
    <row r="22" spans="1:16" x14ac:dyDescent="0.3">
      <c r="A22" s="5" t="s">
        <v>7</v>
      </c>
      <c r="B22" s="6" t="s">
        <v>59</v>
      </c>
      <c r="C22" s="6" t="str" cm="1">
        <f t="array" ref="C22">_xll.BDP(B22,"name")</f>
        <v>EURO FX CURR FUT  Jun25</v>
      </c>
      <c r="D22" s="57">
        <v>50</v>
      </c>
      <c r="E22" s="44">
        <v>125000</v>
      </c>
      <c r="F22" s="5" t="s">
        <v>5</v>
      </c>
      <c r="G22" s="23"/>
      <c r="H22" s="48" cm="1">
        <f t="array" ref="H22">_xll.BDP(B22,"px last")</f>
        <v>1.1239000000000001</v>
      </c>
      <c r="I22" s="23"/>
      <c r="J22" s="7">
        <f>D22*E22*H22</f>
        <v>7024375.0000000009</v>
      </c>
      <c r="K22" s="27">
        <f>SUM(K10:K11)</f>
        <v>0.64709823300806735</v>
      </c>
      <c r="L22" s="25">
        <f>SUM(J22:J24)/$B$6</f>
        <v>0.69995338956001651</v>
      </c>
      <c r="M22" s="19">
        <f>(K22-L22)*$B$6</f>
        <v>-559720.85182605032</v>
      </c>
    </row>
    <row r="23" spans="1:16" x14ac:dyDescent="0.3">
      <c r="A23" s="5" t="s">
        <v>55</v>
      </c>
      <c r="B23" s="6"/>
      <c r="C23" s="6"/>
      <c r="D23" s="60"/>
      <c r="E23" s="53">
        <v>1</v>
      </c>
      <c r="F23" s="5" t="s">
        <v>4</v>
      </c>
      <c r="G23" s="70">
        <f>G10</f>
        <v>1.1187</v>
      </c>
      <c r="H23" s="5"/>
      <c r="I23" s="5"/>
      <c r="J23" s="7">
        <f>D23*G23</f>
        <v>0</v>
      </c>
      <c r="K23" s="27"/>
      <c r="L23" s="25"/>
      <c r="P23" s="19"/>
    </row>
    <row r="24" spans="1:16" ht="15" thickBot="1" x14ac:dyDescent="0.35">
      <c r="A24" s="12" t="s">
        <v>56</v>
      </c>
      <c r="B24" s="13"/>
      <c r="C24" s="13"/>
      <c r="D24" s="62">
        <v>346768</v>
      </c>
      <c r="E24" s="26">
        <v>1</v>
      </c>
      <c r="F24" s="12" t="s">
        <v>4</v>
      </c>
      <c r="G24" s="54">
        <f>G10</f>
        <v>1.1187</v>
      </c>
      <c r="H24" s="12"/>
      <c r="I24" s="12"/>
      <c r="J24" s="14">
        <f>D24*G24</f>
        <v>387929.3616</v>
      </c>
      <c r="K24" s="28"/>
      <c r="L24" s="29"/>
      <c r="P24" s="19"/>
    </row>
    <row r="25" spans="1:16" x14ac:dyDescent="0.3">
      <c r="A25" s="8" t="s">
        <v>57</v>
      </c>
      <c r="B25" s="8"/>
      <c r="C25" s="8"/>
      <c r="D25" s="71"/>
      <c r="E25" s="24">
        <v>1</v>
      </c>
      <c r="F25" s="8" t="s">
        <v>19</v>
      </c>
      <c r="G25" s="72">
        <f>G12</f>
        <v>1.2939000000000001</v>
      </c>
      <c r="H25" s="8"/>
      <c r="I25" s="8"/>
      <c r="J25" s="10">
        <f>D25*G25</f>
        <v>0</v>
      </c>
      <c r="K25" s="73">
        <f>K12</f>
        <v>5.7587004941539302E-2</v>
      </c>
      <c r="L25" s="73">
        <f>(SUM(J25:J26))/B6</f>
        <v>5.1951439887745483E-2</v>
      </c>
      <c r="M25" s="19">
        <f>(K25-L25)*$B$6</f>
        <v>59679.007275861957</v>
      </c>
    </row>
    <row r="26" spans="1:16" ht="15" thickBot="1" x14ac:dyDescent="0.35">
      <c r="A26" s="12" t="s">
        <v>58</v>
      </c>
      <c r="B26" s="12"/>
      <c r="C26" s="12"/>
      <c r="D26" s="62">
        <v>425188</v>
      </c>
      <c r="E26" s="26"/>
      <c r="F26" s="12" t="s">
        <v>19</v>
      </c>
      <c r="G26" s="54">
        <f>G12</f>
        <v>1.2939000000000001</v>
      </c>
      <c r="H26" s="12"/>
      <c r="I26" s="12"/>
      <c r="J26" s="14">
        <f>D26*G26</f>
        <v>550150.75320000004</v>
      </c>
      <c r="K26" s="28"/>
      <c r="L26" s="28"/>
      <c r="M26" s="19"/>
    </row>
    <row r="27" spans="1:16" x14ac:dyDescent="0.3">
      <c r="A27" s="8" t="s">
        <v>7</v>
      </c>
      <c r="B27" s="9" t="str">
        <f>B22</f>
        <v>ECM5 Curncy</v>
      </c>
      <c r="C27" s="9" t="str">
        <f>C22</f>
        <v>EURO FX CURR FUT  Jun25</v>
      </c>
      <c r="D27" s="59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-7024375.0000000009</v>
      </c>
      <c r="K27" s="69">
        <f>SUM(L13:L16)</f>
        <v>0.30298276228885723</v>
      </c>
      <c r="L27" s="21">
        <f>SUM(J27:J31)/$B$6</f>
        <v>0.22860655429323107</v>
      </c>
      <c r="M27" s="19"/>
    </row>
    <row r="28" spans="1:16" x14ac:dyDescent="0.3">
      <c r="A28" s="6" t="s">
        <v>12</v>
      </c>
      <c r="B28" s="6"/>
      <c r="C28" s="6"/>
      <c r="D28" s="60">
        <v>1843877.84</v>
      </c>
      <c r="E28" s="24">
        <v>1</v>
      </c>
      <c r="F28" s="8" t="s">
        <v>5</v>
      </c>
      <c r="G28" s="8"/>
      <c r="H28" s="5"/>
      <c r="I28" s="5"/>
      <c r="J28" s="7">
        <f>D28</f>
        <v>1843877.84</v>
      </c>
      <c r="K28" s="5"/>
      <c r="L28" s="5"/>
    </row>
    <row r="29" spans="1:16" x14ac:dyDescent="0.3">
      <c r="A29" s="6" t="s">
        <v>13</v>
      </c>
      <c r="B29" s="6"/>
      <c r="C29" s="6"/>
      <c r="D29" s="60">
        <v>7947594.3399999999</v>
      </c>
      <c r="E29" s="24">
        <v>1</v>
      </c>
      <c r="F29" s="8" t="s">
        <v>5</v>
      </c>
      <c r="G29" s="8"/>
      <c r="H29" s="5"/>
      <c r="I29" s="5"/>
      <c r="J29" s="7">
        <f>D29-J26-J24</f>
        <v>7009514.2251999993</v>
      </c>
      <c r="K29" s="5"/>
      <c r="L29" s="5"/>
    </row>
    <row r="30" spans="1:16" x14ac:dyDescent="0.3">
      <c r="A30" s="35"/>
      <c r="B30" s="35"/>
      <c r="C30" s="35"/>
      <c r="D30" s="61"/>
      <c r="E30" s="53"/>
      <c r="F30" s="5"/>
      <c r="G30" s="5"/>
      <c r="H30" s="23"/>
      <c r="I30" s="23"/>
      <c r="J30" s="52"/>
      <c r="K30" s="23"/>
      <c r="L30" s="23"/>
      <c r="M30" s="19"/>
      <c r="N30" s="19"/>
    </row>
    <row r="31" spans="1:16" ht="15" thickBot="1" x14ac:dyDescent="0.35">
      <c r="A31" s="13" t="s">
        <v>22</v>
      </c>
      <c r="B31" s="13"/>
      <c r="C31" s="13"/>
      <c r="D31" s="62">
        <v>591860.36</v>
      </c>
      <c r="E31" s="26">
        <v>1</v>
      </c>
      <c r="F31" s="12" t="s">
        <v>5</v>
      </c>
      <c r="G31" s="12"/>
      <c r="H31" s="12"/>
      <c r="I31" s="12"/>
      <c r="J31" s="14">
        <f>D31</f>
        <v>591860.36</v>
      </c>
      <c r="K31" s="12"/>
      <c r="L31" s="12"/>
    </row>
    <row r="32" spans="1:16" ht="15" thickBot="1" x14ac:dyDescent="0.35">
      <c r="A32" s="1"/>
      <c r="B32" s="1"/>
      <c r="C32" s="1"/>
      <c r="D32" s="34"/>
      <c r="E32" s="1"/>
      <c r="J32" s="31">
        <f>SUM(J22:J31)</f>
        <v>10383332.539999999</v>
      </c>
      <c r="K32" s="36">
        <f>SUM(K22:K31)</f>
        <v>1.0076680002384639</v>
      </c>
      <c r="L32" s="36">
        <f>SUM(L22:L31)</f>
        <v>0.98051138374099311</v>
      </c>
    </row>
    <row r="33" spans="1:10" x14ac:dyDescent="0.3">
      <c r="A33" s="1"/>
      <c r="B33" s="1"/>
      <c r="D33" s="19"/>
      <c r="E33" s="1"/>
    </row>
    <row r="34" spans="1:10" x14ac:dyDescent="0.3">
      <c r="A34" s="1"/>
      <c r="B34" s="1"/>
      <c r="E34" s="1"/>
    </row>
    <row r="35" spans="1:10" x14ac:dyDescent="0.3">
      <c r="D35" s="19"/>
      <c r="H35" s="19"/>
    </row>
    <row r="36" spans="1:10" x14ac:dyDescent="0.3">
      <c r="A36" s="65" t="s">
        <v>35</v>
      </c>
      <c r="B36" s="55" t="s">
        <v>26</v>
      </c>
      <c r="C36" s="56" t="s">
        <v>27</v>
      </c>
      <c r="D36" s="66"/>
      <c r="G36" s="3"/>
      <c r="J36" s="19"/>
    </row>
    <row r="37" spans="1:10" x14ac:dyDescent="0.3">
      <c r="A37" s="3" t="str">
        <f>IF(B37&gt;0,"buy eur","sell eur")</f>
        <v>sell eur</v>
      </c>
      <c r="B37" s="19">
        <f>M22/G23</f>
        <v>-500331.50248149666</v>
      </c>
      <c r="C37" s="19">
        <f>M22/H22/E22</f>
        <v>-3.984132765022157</v>
      </c>
      <c r="D37" s="19"/>
      <c r="G37" s="67"/>
      <c r="H37" s="19"/>
    </row>
    <row r="38" spans="1:10" x14ac:dyDescent="0.3">
      <c r="A38" s="3" t="str">
        <f>IF(B38&gt;0,"buy gbp","sell gbp")</f>
        <v>buy gbp</v>
      </c>
      <c r="B38" s="19">
        <f>M25/G25</f>
        <v>46123.353640823829</v>
      </c>
      <c r="D38" s="19"/>
      <c r="G38" s="67"/>
      <c r="H38" s="19"/>
    </row>
    <row r="39" spans="1:10" x14ac:dyDescent="0.3">
      <c r="D39" s="66"/>
      <c r="G39" s="19"/>
      <c r="H39" s="19"/>
    </row>
    <row r="40" spans="1:10" x14ac:dyDescent="0.3">
      <c r="D40" s="19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2021-12-17T12:30:04Z</cp:lastPrinted>
  <dcterms:created xsi:type="dcterms:W3CDTF">2020-10-26T15:50:05Z</dcterms:created>
  <dcterms:modified xsi:type="dcterms:W3CDTF">2025-04-10T16:08:39Z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