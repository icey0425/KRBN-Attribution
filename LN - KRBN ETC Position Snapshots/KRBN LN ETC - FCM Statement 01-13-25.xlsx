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2434668-E6FE-4AC5-94F6-69E86C4970CF}" xr6:coauthVersionLast="47" xr6:coauthVersionMax="47" xr10:uidLastSave="{B56AD36E-47C0-4524-90AC-E2DB1A6B5AEA}"/>
  <bookViews>
    <workbookView xWindow="29445" yWindow="4110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<sst xmlns="http://schemas.openxmlformats.org/spreadsheetml/2006/main" count="103" uniqueCount="56">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</sst>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12050024.060000001</v>
      </c>
      <c r="J6" t="s">
        <v>25</v>
      </c>
    </row>
    <row r="7" spans="1:12" x14ac:dyDescent="0.3">
      <c r="J7" s="58">
        <f>(D28+D29)/B6</f>
        <v>0.94991080374656123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1.0197006158991719</v>
      </c>
      <c r="H10" s="50">
        <v>76.92</v>
      </c>
      <c r="I10" s="5"/>
      <c r="J10" s="10">
        <f>D10*E10*G10*H10</f>
        <v>6745441.9382469309</v>
      </c>
      <c r="K10" s="55">
        <v>0.57268013545283303</v>
      </c>
      <c r="L10" s="21">
        <f t="shared" ref="L10:L15" si="0">J10/$B$6</f>
        <v>0.55978659500261041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1.0197006158991719</v>
      </c>
      <c r="H11" s="50">
        <v>79.25</v>
      </c>
      <c r="I11" s="5"/>
      <c r="J11" s="10">
        <f t="shared" ref="J11:J12" si="1">D11*E11*G11*H11</f>
        <v>646490.19048007496</v>
      </c>
      <c r="K11" s="55">
        <v>5.2108631260905598E-2</v>
      </c>
      <c r="L11" s="21">
        <f t="shared" si="0"/>
        <v>5.3650531091144968E-2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1.2152440209994169</v>
      </c>
      <c r="H12" s="50">
        <v>35.1</v>
      </c>
      <c r="I12" s="5"/>
      <c r="J12" s="10">
        <f t="shared" si="1"/>
        <v>511860.7816449544</v>
      </c>
      <c r="K12" s="55">
        <v>4.2986224314515598E-2</v>
      </c>
      <c r="L12" s="21">
        <f t="shared" si="0"/>
        <v>4.2477988350585451E-2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35.32</v>
      </c>
      <c r="I13" s="5"/>
      <c r="J13" s="10">
        <f>D13*E13*H13</f>
        <v>2225160</v>
      </c>
      <c r="K13" s="55">
        <v>0.19233373875913901</v>
      </c>
      <c r="L13" s="21">
        <f t="shared" si="0"/>
        <v>0.18466021220541862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37.520000000000003</v>
      </c>
      <c r="I14" s="5"/>
      <c r="J14" s="10">
        <f>D14*E14*H14</f>
        <v>600320</v>
      </c>
      <c r="K14" s="55">
        <v>4.8222297526500597E-2</v>
      </c>
      <c r="L14" s="21">
        <f t="shared" ref="L14" si="2">J14/$B$6</f>
        <v>4.9818987664328365E-2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22.05</v>
      </c>
      <c r="I15" s="5"/>
      <c r="J15" s="10">
        <f>D15*E15*H15</f>
        <v>529200</v>
      </c>
      <c r="K15" s="55">
        <v>4.5957717638079702E-2</v>
      </c>
      <c r="L15" s="21">
        <f t="shared" si="0"/>
        <v>4.3916924760065583E-2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55.5</v>
      </c>
      <c r="I16" s="12"/>
      <c r="J16" s="14">
        <f>D16*E16*H16</f>
        <v>555000</v>
      </c>
      <c r="K16" s="56">
        <v>4.5711255048025097E-2</v>
      </c>
      <c r="L16" s="21">
        <f>J16/$B$6</f>
        <v>4.6057999323198033E-2</v>
      </c>
    </row>
    <row r="17" spans="1:13" ht="15" thickBot="1" x14ac:dyDescent="0.35">
      <c r="J17" s="34">
        <f>SUM(J10:J16)</f>
        <v>11813472.910371959</v>
      </c>
      <c r="K17" s="35">
        <f>SUM(K10:K16)</f>
        <v>0.99999999999999867</v>
      </c>
      <c r="L17" s="36">
        <f>SUM(L10:L16)</f>
        <v>0.98036923839735135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1.0236000000000001</v>
      </c>
      <c r="I22" s="23"/>
      <c r="J22" s="7">
        <f>D22*E22*H22</f>
        <v>6397500</v>
      </c>
      <c r="K22" s="27">
        <f>SUM(K10:K11)</f>
        <v>0.62478876671373862</v>
      </c>
      <c r="L22" s="25">
        <f>SUM(J22:J24)/$B$6</f>
        <v>0.62917452777079275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1.0197006158991719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1161192</v>
      </c>
      <c r="E24" s="26">
        <v>1</v>
      </c>
      <c r="F24" s="12" t="s">
        <v>4</v>
      </c>
      <c r="G24" s="62">
        <v>1.0197006158991719</v>
      </c>
      <c r="H24" s="12"/>
      <c r="I24" s="12"/>
      <c r="J24" s="14">
        <f>D24*G24</f>
        <v>1184068.1975771913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1.2152440209994169</v>
      </c>
      <c r="H25" s="8"/>
      <c r="I25" s="8"/>
      <c r="J25" s="10">
        <f>D25*G25</f>
        <v>0</v>
      </c>
      <c r="K25" s="70">
        <f>K12</f>
        <v>4.2986224314515598E-2</v>
      </c>
      <c r="L25" s="70">
        <f>(SUM(J25:J26))/B6</f>
        <v>3.5522167333214651E-2</v>
      </c>
    </row>
    <row r="26" spans="1:13" ht="15" thickBot="1" x14ac:dyDescent="0.35">
      <c r="A26" s="65" t="s">
        <v>55</v>
      </c>
      <c r="B26" s="12"/>
      <c r="C26" s="12"/>
      <c r="D26" s="53">
        <v>352228</v>
      </c>
      <c r="E26" s="26">
        <v>1</v>
      </c>
      <c r="F26" s="12" t="s">
        <v>22</v>
      </c>
      <c r="G26" s="62">
        <v>1.2152440209994169</v>
      </c>
      <c r="H26" s="12"/>
      <c r="I26" s="12"/>
      <c r="J26" s="14">
        <f>D26*G26</f>
        <v>428042.9710285826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-6397500</v>
      </c>
      <c r="K27" s="66">
        <f>SUM(K13:K16)</f>
        <v>0.3322250089717444</v>
      </c>
      <c r="L27" s="21">
        <f>SUM(J27:J31)/$B$6</f>
        <v>0.33577609731297298</v>
      </c>
    </row>
    <row r="28" spans="1:13" x14ac:dyDescent="0.3">
      <c r="A28" s="6" t="s">
        <v>13</v>
      </c>
      <c r="B28" s="6"/>
      <c r="C28" s="6"/>
      <c r="D28" s="50">
        <v>1906519.89</v>
      </c>
      <c r="E28" s="24">
        <v>1</v>
      </c>
      <c r="F28" s="8" t="s">
        <v>5</v>
      </c>
      <c r="G28" s="8"/>
      <c r="H28" s="5"/>
      <c r="I28" s="5"/>
      <c r="J28" s="7">
        <f>D28</f>
        <v>1906519.89</v>
      </c>
      <c r="K28" s="5"/>
      <c r="L28" s="5"/>
    </row>
    <row r="29" spans="1:13" x14ac:dyDescent="0.3">
      <c r="A29" s="6" t="s">
        <v>14</v>
      </c>
      <c r="B29" s="6"/>
      <c r="C29" s="6"/>
      <c r="D29" s="50">
        <v>9539928.1500000004</v>
      </c>
      <c r="E29" s="24">
        <v>1</v>
      </c>
      <c r="F29" s="8" t="s">
        <v>5</v>
      </c>
      <c r="G29" s="8"/>
      <c r="H29" s="5"/>
      <c r="I29" s="5"/>
      <c r="J29" s="7">
        <f>D29-J26-J24</f>
        <v>7927816.9813942257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12055721.219999999</v>
      </c>
      <c r="K32" s="43">
        <f>SUM(K22:K31)</f>
        <v>0.99999999999999867</v>
      </c>
      <c r="L32" s="43">
        <f>SUM(L22:L31)</f>
        <v>1.0004727924169803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1.0236000000000001</v>
      </c>
      <c r="I37" s="23"/>
      <c r="J37" s="7">
        <f>J22</f>
        <v>6397500</v>
      </c>
      <c r="K37" s="27">
        <f>SUM(K10:K11)</f>
        <v>0.62478876671373862</v>
      </c>
      <c r="L37" s="25">
        <f>SUM(J37:J39)/$B$6</f>
        <v>0.62917452777079275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1161192</v>
      </c>
      <c r="E39" s="26"/>
      <c r="F39" s="12" t="s">
        <v>4</v>
      </c>
      <c r="G39" s="12"/>
      <c r="H39" s="12"/>
      <c r="I39" s="12"/>
      <c r="J39" s="30">
        <f>J24</f>
        <v>1184068.1975771913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4.2986224314515598E-2</v>
      </c>
      <c r="L40" s="70">
        <f>(SUM(J40:J41))/$B$6</f>
        <v>3.5522167333214651E-2</v>
      </c>
    </row>
    <row r="41" spans="1:12" ht="15" thickBot="1" x14ac:dyDescent="0.35">
      <c r="A41" s="12" t="s">
        <v>55</v>
      </c>
      <c r="B41" s="12"/>
      <c r="C41" s="12"/>
      <c r="D41" s="30">
        <v>352228</v>
      </c>
      <c r="E41" s="26"/>
      <c r="F41" s="12" t="s">
        <v>22</v>
      </c>
      <c r="G41" s="12"/>
      <c r="H41" s="12"/>
      <c r="I41" s="12"/>
      <c r="J41" s="30">
        <f>J26</f>
        <v>428042.9710285826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4046110.0513942256</v>
      </c>
      <c r="K42" s="72">
        <f>K27</f>
        <v>0.3322250089717444</v>
      </c>
      <c r="L42" s="72">
        <f>L27</f>
        <v>0.33577609731297298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12055721.219999999</v>
      </c>
      <c r="K43" s="43">
        <f>SUM(K37:K42)</f>
        <v>0.99999999999999867</v>
      </c>
      <c r="L43" s="43">
        <f>SUM(L37:L42)</f>
        <v>1.0004727924169803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2025-01-14T13:23:53Z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