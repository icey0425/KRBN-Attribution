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CEFFE46-EA73-4EFC-BD78-1C8A21D14C33}" xr6:coauthVersionLast="47" xr6:coauthVersionMax="47" xr10:uidLastSave="{2261AAF5-B2A2-49DF-A025-BCB7391A8785}"/>
  <bookViews>
    <workbookView xWindow="30045" yWindow="6345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<sst xmlns="http://schemas.openxmlformats.org/spreadsheetml/2006/main" count="103" uniqueCount="56">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</sst>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45895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9056215.9299999997</v>
      </c>
      <c r="J6" t="s">
        <v>25</v>
      </c>
    </row>
    <row r="7" spans="1:13" x14ac:dyDescent="0.3">
      <c r="J7" s="57">
        <f>(D28+D29)/B6</f>
        <v>0.97829379273645478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1.1654060857505797</v>
      </c>
      <c r="H10" s="49">
        <v>72.75</v>
      </c>
      <c r="I10" s="4"/>
      <c r="J10" s="9">
        <f>D10*E10*G10*H10</f>
        <v>4917430.9788245708</v>
      </c>
      <c r="K10" s="54">
        <v>0.54649727726998698</v>
      </c>
      <c r="L10" s="20">
        <f t="shared" ref="L10:L15" si="0">J10/$B$6</f>
        <v>0.54298959044636774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1.1654060857505797</v>
      </c>
      <c r="H11" s="49">
        <v>74.69</v>
      </c>
      <c r="I11" s="4"/>
      <c r="J11" s="9">
        <f t="shared" ref="J11:J12" si="1">D11*E11*G11*H11</f>
        <v>435220.902723554</v>
      </c>
      <c r="K11" s="54">
        <v>4.97211893577107E-2</v>
      </c>
      <c r="L11" s="20">
        <f t="shared" si="0"/>
        <v>4.8057699384333699E-2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1.3479087196215072</v>
      </c>
      <c r="H12" s="49">
        <v>52.18</v>
      </c>
      <c r="I12" s="4"/>
      <c r="J12" s="9">
        <f t="shared" si="1"/>
        <v>422003.26193910145</v>
      </c>
      <c r="K12" s="54">
        <v>4.7657280223900499E-2</v>
      </c>
      <c r="L12" s="20">
        <f t="shared" si="0"/>
        <v>4.6598189045068572E-2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28.95</v>
      </c>
      <c r="I13" s="4"/>
      <c r="J13" s="9">
        <f>D13*E13*H13</f>
        <v>1737000</v>
      </c>
      <c r="K13" s="54">
        <v>0.201936912542616</v>
      </c>
      <c r="L13" s="20">
        <f t="shared" si="0"/>
        <v>0.19180196380321954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30.71</v>
      </c>
      <c r="I14" s="4"/>
      <c r="J14" s="9">
        <f>D14*E14*H14</f>
        <v>460650</v>
      </c>
      <c r="K14" s="54">
        <v>5.0207471572270602E-2</v>
      </c>
      <c r="L14" s="20">
        <f t="shared" ref="L14" si="2">J14/$B$6</f>
        <v>5.0865615789264865E-2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22.98</v>
      </c>
      <c r="I15" s="4"/>
      <c r="J15" s="9">
        <f>D15*E15*H15</f>
        <v>482580</v>
      </c>
      <c r="K15" s="54">
        <v>5.38456211357662E-2</v>
      </c>
      <c r="L15" s="20">
        <f t="shared" si="0"/>
        <v>5.3287156990303786E-2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63.15</v>
      </c>
      <c r="I16" s="11"/>
      <c r="J16" s="13">
        <f>D16*E16*H16</f>
        <v>442050</v>
      </c>
      <c r="K16" s="55">
        <v>5.0134247897748598E-2</v>
      </c>
      <c r="L16" s="20">
        <f>J16/$B$6</f>
        <v>4.8811777834895334E-2</v>
      </c>
    </row>
    <row r="17" spans="1:13" ht="15" thickBot="1" x14ac:dyDescent="0.35">
      <c r="J17" s="33">
        <f>SUM(J10:J16)</f>
        <v>8896935.1434872262</v>
      </c>
      <c r="K17" s="34">
        <f>SUM(K10:K16)</f>
        <v>0.99999999999999956</v>
      </c>
      <c r="L17" s="35">
        <f>SUM(L10:L16)</f>
        <v>0.98241199329345341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1.1659000000000002</v>
      </c>
      <c r="I22" s="22"/>
      <c r="J22" s="6">
        <f>D22*E22*H22</f>
        <v>4372125.0000000009</v>
      </c>
      <c r="K22" s="26">
        <f>SUM(K10:K11)</f>
        <v>0.59621846662769773</v>
      </c>
      <c r="L22" s="24">
        <f>SUM(J22:J24)/$B$6</f>
        <v>0.5783958445439582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1.1654060857505797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743048</v>
      </c>
      <c r="E24" s="25">
        <v>1</v>
      </c>
      <c r="F24" s="11" t="s">
        <v>4</v>
      </c>
      <c r="G24" s="61">
        <v>1.1654060857505797</v>
      </c>
      <c r="H24" s="11"/>
      <c r="I24" s="11"/>
      <c r="J24" s="13">
        <f>D24*G24</f>
        <v>865952.66120479675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1.3479087196215072</v>
      </c>
      <c r="H25" s="7"/>
      <c r="I25" s="7"/>
      <c r="J25" s="9">
        <f>D25*G25</f>
        <v>0</v>
      </c>
      <c r="K25" s="69">
        <f>K12</f>
        <v>4.7657280223900499E-2</v>
      </c>
      <c r="L25" s="69">
        <f>(SUM(J25:J26))/B6</f>
        <v>4.7727422660390331E-2</v>
      </c>
    </row>
    <row r="26" spans="1:13" ht="15" thickBot="1" x14ac:dyDescent="0.35">
      <c r="A26" s="64" t="s">
        <v>53</v>
      </c>
      <c r="B26" s="11"/>
      <c r="C26" s="11"/>
      <c r="D26" s="52">
        <v>320667</v>
      </c>
      <c r="E26" s="25">
        <v>1</v>
      </c>
      <c r="F26" s="11" t="s">
        <v>22</v>
      </c>
      <c r="G26" s="61">
        <v>1.3479087196215072</v>
      </c>
      <c r="H26" s="11"/>
      <c r="I26" s="11"/>
      <c r="J26" s="13">
        <f>D26*G26</f>
        <v>432229.84539486986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-4372125.0000000009</v>
      </c>
      <c r="K27" s="65">
        <f>SUM(K13:K16)</f>
        <v>0.3561242531484014</v>
      </c>
      <c r="L27" s="20">
        <f>SUM(J27:J31)/$B$6</f>
        <v>0.37586457077777868</v>
      </c>
    </row>
    <row r="28" spans="1:13" x14ac:dyDescent="0.3">
      <c r="A28" s="5" t="s">
        <v>13</v>
      </c>
      <c r="B28" s="5"/>
      <c r="C28" s="5"/>
      <c r="D28" s="49">
        <v>1216827.72</v>
      </c>
      <c r="E28" s="23">
        <v>1</v>
      </c>
      <c r="F28" s="7" t="s">
        <v>5</v>
      </c>
      <c r="G28" s="7"/>
      <c r="H28" s="4"/>
      <c r="I28" s="4"/>
      <c r="J28" s="6">
        <f>D28</f>
        <v>1216827.72</v>
      </c>
      <c r="K28" s="4"/>
      <c r="L28" s="4"/>
    </row>
    <row r="29" spans="1:13" x14ac:dyDescent="0.3">
      <c r="A29" s="5" t="s">
        <v>14</v>
      </c>
      <c r="B29" s="5"/>
      <c r="C29" s="5"/>
      <c r="D29" s="49">
        <v>7642812.1100000003</v>
      </c>
      <c r="E29" s="23">
        <v>1</v>
      </c>
      <c r="F29" s="7" t="s">
        <v>5</v>
      </c>
      <c r="G29" s="7"/>
      <c r="H29" s="4"/>
      <c r="I29" s="4"/>
      <c r="J29" s="6">
        <f>D29-J26-J24</f>
        <v>6344629.6034003329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9074218.2200000007</v>
      </c>
      <c r="K32" s="42">
        <f>SUM(K22:K31)</f>
        <v>0.99999999999999956</v>
      </c>
      <c r="L32" s="42">
        <f>SUM(L22:L31)</f>
        <v>1.0019878379821272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1.1659000000000002</v>
      </c>
      <c r="I37" s="22"/>
      <c r="J37" s="6">
        <f>J22</f>
        <v>4372125.0000000009</v>
      </c>
      <c r="K37" s="26">
        <f>SUM(K10:K11)</f>
        <v>0.59621846662769773</v>
      </c>
      <c r="L37" s="24">
        <f>SUM(J37:J39)/$B$6</f>
        <v>0.5783958445439582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743048</v>
      </c>
      <c r="E39" s="25"/>
      <c r="F39" s="11" t="s">
        <v>4</v>
      </c>
      <c r="G39" s="11"/>
      <c r="H39" s="11"/>
      <c r="I39" s="11"/>
      <c r="J39" s="29">
        <f>J24</f>
        <v>865952.66120479675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4.7657280223900499E-2</v>
      </c>
      <c r="L40" s="69">
        <f>(SUM(J40:J41))/$B$6</f>
        <v>4.7727422660390331E-2</v>
      </c>
    </row>
    <row r="41" spans="1:12" ht="15" thickBot="1" x14ac:dyDescent="0.35">
      <c r="A41" s="11" t="s">
        <v>53</v>
      </c>
      <c r="B41" s="11"/>
      <c r="C41" s="11"/>
      <c r="D41" s="29">
        <v>320667</v>
      </c>
      <c r="E41" s="25"/>
      <c r="F41" s="11" t="s">
        <v>22</v>
      </c>
      <c r="G41" s="11"/>
      <c r="H41" s="11"/>
      <c r="I41" s="11"/>
      <c r="J41" s="29">
        <f>J26</f>
        <v>432229.84539486986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3403910.7134003318</v>
      </c>
      <c r="K42" s="71">
        <f>K27</f>
        <v>0.3561242531484014</v>
      </c>
      <c r="L42" s="71">
        <f>L27</f>
        <v>0.37586457077777868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9074218.2200000007</v>
      </c>
      <c r="K43" s="42">
        <f>SUM(K37:K42)</f>
        <v>0.99999999999999956</v>
      </c>
      <c r="L43" s="42">
        <f>SUM(L37:L42)</f>
        <v>1.0019878379821272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2025-08-27T12:44:17Z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