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79C45A1-C018-4282-B37A-FEE36E9C69C6}" xr6:coauthVersionLast="47" xr6:coauthVersionMax="47" xr10:uidLastSave="{4C3C36D3-ED38-4ECA-BE87-30ED8F44AA42}"/>
  <bookViews>
    <workbookView xWindow="36045" yWindow="5670" windowWidth="21090" windowHeight="957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<sst xmlns="http://schemas.openxmlformats.org/spreadsheetml/2006/main" count="103" uniqueCount="56">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</sst>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7265625" customWidth="1"/>
    <col min="2" max="2" width="21.453125" customWidth="1"/>
    <col min="3" max="3" width="33.54296875" bestFit="1" customWidth="1"/>
    <col min="4" max="4" width="17.26953125" customWidth="1"/>
    <col min="5" max="5" width="10.7265625" customWidth="1"/>
    <col min="6" max="6" width="7.26953125" customWidth="1"/>
    <col min="7" max="7" width="11.26953125" customWidth="1"/>
    <col min="8" max="8" width="12.26953125" customWidth="1"/>
    <col min="9" max="9" width="1.7265625" customWidth="1"/>
    <col min="10" max="10" width="24.453125" customWidth="1"/>
    <col min="11" max="11" width="17.26953125" customWidth="1"/>
    <col min="12" max="12" width="17.54296875" customWidth="1"/>
  </cols>
  <sheetData>
    <row r="1" spans="1:13" ht="22.9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5" customHeight="1" x14ac:dyDescent="0.35">
      <c r="A2" t="s">
        <v>34</v>
      </c>
      <c r="J2" s="43"/>
      <c r="K2" s="44"/>
      <c r="L2" s="45"/>
    </row>
    <row r="3" spans="1:13" x14ac:dyDescent="0.35">
      <c r="A3" t="s">
        <v>15</v>
      </c>
      <c r="B3" s="56">
        <v>45831</v>
      </c>
    </row>
    <row r="4" spans="1:13" x14ac:dyDescent="0.35">
      <c r="A4" t="s">
        <v>20</v>
      </c>
      <c r="B4">
        <v>0</v>
      </c>
    </row>
    <row r="5" spans="1:13" x14ac:dyDescent="0.35">
      <c r="A5" t="s">
        <v>21</v>
      </c>
      <c r="B5" s="74">
        <v>0</v>
      </c>
    </row>
    <row r="6" spans="1:13" x14ac:dyDescent="0.35">
      <c r="A6" s="2" t="s">
        <v>19</v>
      </c>
      <c r="B6" s="37">
        <v>8976507.2400000002</v>
      </c>
      <c r="J6" t="s">
        <v>25</v>
      </c>
    </row>
    <row r="7" spans="1:13" x14ac:dyDescent="0.35">
      <c r="J7" s="57">
        <f>(D28+D29)/B6</f>
        <v>0.9777159796509004</v>
      </c>
      <c r="K7" s="18"/>
    </row>
    <row r="8" spans="1:13" ht="15" thickBot="1" x14ac:dyDescent="0.4">
      <c r="A8" s="2" t="s">
        <v>26</v>
      </c>
    </row>
    <row r="9" spans="1:13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5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1.1530434582079399</v>
      </c>
      <c r="H10" s="49">
        <v>73.27</v>
      </c>
      <c r="I10" s="4"/>
      <c r="J10" s="9">
        <f>D10*E10*G10*H10</f>
        <v>4900042.6626079539</v>
      </c>
      <c r="K10" s="54">
        <v>0.55114918352827202</v>
      </c>
      <c r="L10" s="20">
        <f t="shared" ref="L10:L15" si="0">J10/$B$6</f>
        <v>0.54587408349352073</v>
      </c>
    </row>
    <row r="11" spans="1:13" x14ac:dyDescent="0.35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1.1530434582079399</v>
      </c>
      <c r="H11" s="49">
        <v>75.22</v>
      </c>
      <c r="I11" s="4"/>
      <c r="J11" s="9">
        <f t="shared" ref="J11:J12" si="1">D11*E11*G11*H11</f>
        <v>433659.64463200618</v>
      </c>
      <c r="K11" s="54">
        <v>5.0141849639636797E-2</v>
      </c>
      <c r="L11" s="20">
        <f t="shared" si="0"/>
        <v>4.8310510205972518E-2</v>
      </c>
    </row>
    <row r="12" spans="1:13" x14ac:dyDescent="0.35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1.3488541484009335</v>
      </c>
      <c r="H12" s="49">
        <v>50.79</v>
      </c>
      <c r="I12" s="4"/>
      <c r="J12" s="9">
        <f t="shared" si="1"/>
        <v>411049.81318370049</v>
      </c>
      <c r="K12" s="54">
        <v>4.6981212435781197E-2</v>
      </c>
      <c r="L12" s="20">
        <f t="shared" si="0"/>
        <v>4.5791731927985441E-2</v>
      </c>
    </row>
    <row r="13" spans="1:13" x14ac:dyDescent="0.35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27.91</v>
      </c>
      <c r="I13" s="4"/>
      <c r="J13" s="9">
        <f>D13*E13*H13</f>
        <v>1674600</v>
      </c>
      <c r="K13" s="54">
        <v>0.197034295744619</v>
      </c>
      <c r="L13" s="20">
        <f t="shared" si="0"/>
        <v>0.18655362884773877</v>
      </c>
    </row>
    <row r="14" spans="1:13" x14ac:dyDescent="0.35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29.73</v>
      </c>
      <c r="I14" s="4"/>
      <c r="J14" s="9">
        <f>D14*E14*H14</f>
        <v>445950</v>
      </c>
      <c r="K14" s="54">
        <v>4.9192431478960699E-2</v>
      </c>
      <c r="L14" s="20">
        <f t="shared" ref="L14" si="2">J14/$B$6</f>
        <v>4.9679679197807899E-2</v>
      </c>
      <c r="M14" s="18"/>
    </row>
    <row r="15" spans="1:13" x14ac:dyDescent="0.35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23.6</v>
      </c>
      <c r="I15" s="4"/>
      <c r="J15" s="9">
        <f>D15*E15*H15</f>
        <v>495600.00000000006</v>
      </c>
      <c r="K15" s="54">
        <v>5.5966379792965003E-2</v>
      </c>
      <c r="L15" s="20">
        <f t="shared" si="0"/>
        <v>5.5210783743544337E-2</v>
      </c>
    </row>
    <row r="16" spans="1:13" ht="15" thickBot="1" x14ac:dyDescent="0.4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61.65</v>
      </c>
      <c r="I16" s="11"/>
      <c r="J16" s="13">
        <f>D16*E16*H16</f>
        <v>431550</v>
      </c>
      <c r="K16" s="55">
        <v>4.9534647379763999E-2</v>
      </c>
      <c r="L16" s="20">
        <f>J16/$B$6</f>
        <v>4.8075491776687969E-2</v>
      </c>
    </row>
    <row r="17" spans="1:13" ht="15" thickBot="1" x14ac:dyDescent="0.4">
      <c r="J17" s="33">
        <f>SUM(J10:J16)</f>
        <v>8792452.1204236597</v>
      </c>
      <c r="K17" s="34">
        <f>SUM(K10:K16)</f>
        <v>0.99999999999999867</v>
      </c>
      <c r="L17" s="35">
        <f>SUM(L10:L16)</f>
        <v>0.9794959091932578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1.16395</v>
      </c>
      <c r="I22" s="22"/>
      <c r="J22" s="6">
        <f>D22*E22*H22</f>
        <v>4364812.5</v>
      </c>
      <c r="K22" s="26">
        <f>SUM(K10:K11)</f>
        <v>0.60129103316790877</v>
      </c>
      <c r="L22" s="24">
        <f>SUM(J22:J24)/$B$6</f>
        <v>0.58348061556714848</v>
      </c>
      <c r="M22" s="18"/>
    </row>
    <row r="23" spans="1:13" x14ac:dyDescent="0.3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1.1530434582079399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51</v>
      </c>
      <c r="B24" s="12"/>
      <c r="C24" s="12"/>
      <c r="D24" s="52">
        <v>756958</v>
      </c>
      <c r="E24" s="25">
        <v>1</v>
      </c>
      <c r="F24" s="11" t="s">
        <v>4</v>
      </c>
      <c r="G24" s="61">
        <v>1.1530434582079399</v>
      </c>
      <c r="H24" s="11"/>
      <c r="I24" s="11"/>
      <c r="J24" s="13">
        <f>D24*G24</f>
        <v>872805.47003816569</v>
      </c>
      <c r="K24" s="27"/>
      <c r="L24" s="28"/>
    </row>
    <row r="25" spans="1:13" x14ac:dyDescent="0.3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1.3488541484009335</v>
      </c>
      <c r="H25" s="7"/>
      <c r="I25" s="7"/>
      <c r="J25" s="9">
        <f>D25*G25</f>
        <v>0</v>
      </c>
      <c r="K25" s="69">
        <f>K12</f>
        <v>4.6981212435781197E-2</v>
      </c>
      <c r="L25" s="69">
        <f>(SUM(J25:J26))/B6</f>
        <v>8.0930732834212427E-2</v>
      </c>
    </row>
    <row r="26" spans="1:13" ht="15" thickBot="1" x14ac:dyDescent="0.4">
      <c r="A26" s="64" t="s">
        <v>53</v>
      </c>
      <c r="B26" s="11"/>
      <c r="C26" s="11"/>
      <c r="D26" s="52">
        <v>538587</v>
      </c>
      <c r="E26" s="25">
        <v>1</v>
      </c>
      <c r="F26" s="11" t="s">
        <v>22</v>
      </c>
      <c r="G26" s="61">
        <v>1.3488541484009335</v>
      </c>
      <c r="H26" s="11"/>
      <c r="I26" s="11"/>
      <c r="J26" s="13">
        <f>D26*G26</f>
        <v>726475.30922481359</v>
      </c>
      <c r="K26" s="27"/>
      <c r="L26" s="27"/>
    </row>
    <row r="27" spans="1:13" x14ac:dyDescent="0.35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-4364812.5</v>
      </c>
      <c r="K27" s="65">
        <f>SUM(K13:K16)</f>
        <v>0.35172775439630866</v>
      </c>
      <c r="L27" s="20">
        <f>SUM(J27:J31)/$B$6</f>
        <v>0.33796769496473122</v>
      </c>
    </row>
    <row r="28" spans="1:13" x14ac:dyDescent="0.35">
      <c r="A28" s="5" t="s">
        <v>13</v>
      </c>
      <c r="B28" s="5"/>
      <c r="C28" s="5"/>
      <c r="D28" s="49">
        <v>1365395.28</v>
      </c>
      <c r="E28" s="23">
        <v>1</v>
      </c>
      <c r="F28" s="7" t="s">
        <v>5</v>
      </c>
      <c r="G28" s="7"/>
      <c r="H28" s="4"/>
      <c r="I28" s="4"/>
      <c r="J28" s="6">
        <f>D28</f>
        <v>1365395.28</v>
      </c>
      <c r="K28" s="4"/>
      <c r="L28" s="4"/>
    </row>
    <row r="29" spans="1:13" x14ac:dyDescent="0.35">
      <c r="A29" s="5" t="s">
        <v>14</v>
      </c>
      <c r="B29" s="5"/>
      <c r="C29" s="5"/>
      <c r="D29" s="49">
        <v>7411079.29</v>
      </c>
      <c r="E29" s="23">
        <v>1</v>
      </c>
      <c r="F29" s="7" t="s">
        <v>5</v>
      </c>
      <c r="G29" s="7"/>
      <c r="H29" s="4"/>
      <c r="I29" s="4"/>
      <c r="J29" s="6">
        <f>D29-J26-J24</f>
        <v>5811798.5107370215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8997862.7400000002</v>
      </c>
      <c r="K32" s="42">
        <f>SUM(K22:K31)</f>
        <v>0.99999999999999867</v>
      </c>
      <c r="L32" s="42">
        <f>SUM(L22:L31)</f>
        <v>1.0023790433660922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1.16395</v>
      </c>
      <c r="I37" s="22"/>
      <c r="J37" s="6">
        <f>J22</f>
        <v>4364812.5</v>
      </c>
      <c r="K37" s="26">
        <f>SUM(K10:K11)</f>
        <v>0.60129103316790877</v>
      </c>
      <c r="L37" s="24">
        <f>SUM(J37:J39)/$B$6</f>
        <v>0.58348061556714848</v>
      </c>
    </row>
    <row r="38" spans="1:12" x14ac:dyDescent="0.3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51</v>
      </c>
      <c r="B39" s="11"/>
      <c r="C39" s="11"/>
      <c r="D39" s="29">
        <v>756958</v>
      </c>
      <c r="E39" s="25"/>
      <c r="F39" s="11" t="s">
        <v>4</v>
      </c>
      <c r="G39" s="11"/>
      <c r="H39" s="11"/>
      <c r="I39" s="11"/>
      <c r="J39" s="29">
        <f>J24</f>
        <v>872805.47003816569</v>
      </c>
      <c r="K39" s="27"/>
      <c r="L39" s="28"/>
    </row>
    <row r="40" spans="1:12" x14ac:dyDescent="0.3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4.6981212435781197E-2</v>
      </c>
      <c r="L40" s="69">
        <f>(SUM(J40:J41))/$B$6</f>
        <v>8.0930732834212427E-2</v>
      </c>
    </row>
    <row r="41" spans="1:12" ht="15" thickBot="1" x14ac:dyDescent="0.4">
      <c r="A41" s="11" t="s">
        <v>53</v>
      </c>
      <c r="B41" s="11"/>
      <c r="C41" s="11"/>
      <c r="D41" s="29">
        <v>538587</v>
      </c>
      <c r="E41" s="25"/>
      <c r="F41" s="11" t="s">
        <v>22</v>
      </c>
      <c r="G41" s="11"/>
      <c r="H41" s="11"/>
      <c r="I41" s="11"/>
      <c r="J41" s="29">
        <f>J26</f>
        <v>726475.30922481359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3033769.4607370216</v>
      </c>
      <c r="K42" s="71">
        <f>K27</f>
        <v>0.35172775439630866</v>
      </c>
      <c r="L42" s="71">
        <f>L27</f>
        <v>0.33796769496473122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8997862.7400000002</v>
      </c>
      <c r="K43" s="42">
        <f>SUM(K37:K42)</f>
        <v>0.99999999999999867</v>
      </c>
      <c r="L43" s="42">
        <f>SUM(L37:L42)</f>
        <v>1.0023790433660922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2025-06-24T14:20:15Z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