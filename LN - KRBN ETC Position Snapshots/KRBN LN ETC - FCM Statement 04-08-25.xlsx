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Zheng\OneDrive - Krane Funds Advisors\Research_ongoing\KRBN Attribution\LN - KRBN ETC Position Snapshots\"/>
    </mc:Choice>
  </mc:AlternateContent>
  <xr:revisionPtr revIDLastSave="0" documentId="13_ncr:1_{54C7599C-D84E-4851-A186-4492515C4752}" xr6:coauthVersionLast="47" xr6:coauthVersionMax="47" xr10:uidLastSave="{00000000-0000-0000-0000-000000000000}"/>
  <bookViews>
    <workbookView xWindow="15072" yWindow="-16308" windowWidth="29016" windowHeight="15696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<sst xmlns="http://schemas.openxmlformats.org/spreadsheetml/2006/main" count="103" uniqueCount="56">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</sst>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>
      <selection activeCell="Q15" sqref="Q15"/>
    </sheetView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45755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>
        <v>0</v>
      </c>
    </row>
    <row r="6" spans="1:13" x14ac:dyDescent="0.3">
      <c r="A6" s="2" t="s">
        <v>19</v>
      </c>
      <c r="B6" s="37">
        <v>10795397.09</v>
      </c>
      <c r="J6" t="s">
        <v>25</v>
      </c>
    </row>
    <row r="7" spans="1:13" x14ac:dyDescent="0.3">
      <c r="J7" s="57">
        <f>(D28+D29)/B6</f>
        <v>0.94515942720176493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1.0910955690608939</v>
      </c>
      <c r="H10" s="49">
        <v>62.06</v>
      </c>
      <c r="I10" s="4"/>
      <c r="J10" s="9">
        <f>D10*E10*G10*H10</f>
        <v>5823351.6273690406</v>
      </c>
      <c r="K10" s="54">
        <v>0.55520141691902802</v>
      </c>
      <c r="L10" s="20">
        <f t="shared" ref="L10:L15" si="0">J10/$B$6</f>
        <v>0.53942912695294298</v>
      </c>
      <c r="M10" s="57"/>
    </row>
    <row r="11" spans="1:13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1.0910955690608939</v>
      </c>
      <c r="H11" s="49">
        <v>63.74</v>
      </c>
      <c r="I11" s="4"/>
      <c r="J11" s="9">
        <f t="shared" ref="J11:J12" si="1">D11*E11*G11*H11</f>
        <v>556371.45257553109</v>
      </c>
      <c r="K11" s="54">
        <v>5.0360311188004901E-2</v>
      </c>
      <c r="L11" s="20">
        <f t="shared" si="0"/>
        <v>5.1537840427464177E-2</v>
      </c>
      <c r="M11" s="57"/>
    </row>
    <row r="12" spans="1:13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1.2756566442576316</v>
      </c>
      <c r="H12" s="49">
        <v>41.71</v>
      </c>
      <c r="I12" s="4"/>
      <c r="J12" s="9">
        <f t="shared" si="1"/>
        <v>638491.66358382977</v>
      </c>
      <c r="K12" s="54">
        <v>6.0214639732575598E-2</v>
      </c>
      <c r="L12" s="20">
        <f t="shared" si="0"/>
        <v>5.9144805722364566E-2</v>
      </c>
      <c r="M12" s="57"/>
    </row>
    <row r="13" spans="1:13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29.83</v>
      </c>
      <c r="I13" s="4"/>
      <c r="J13" s="9">
        <f>D13*E13*H13</f>
        <v>1879290</v>
      </c>
      <c r="K13" s="54">
        <v>0.182415545810311</v>
      </c>
      <c r="L13" s="20">
        <f t="shared" si="0"/>
        <v>0.1740825265001901</v>
      </c>
      <c r="M13" s="57"/>
    </row>
    <row r="14" spans="1:13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31.67</v>
      </c>
      <c r="I14" s="4"/>
      <c r="J14" s="9">
        <f>D14*E14*H14</f>
        <v>506720</v>
      </c>
      <c r="K14" s="54">
        <v>4.5709550083763803E-2</v>
      </c>
      <c r="L14" s="20">
        <f t="shared" ref="L14" si="2">J14/$B$6</f>
        <v>4.6938523499926207E-2</v>
      </c>
      <c r="M14" s="57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21.62</v>
      </c>
      <c r="I15" s="4"/>
      <c r="J15" s="9">
        <f>D15*E15*H15</f>
        <v>518880</v>
      </c>
      <c r="K15" s="54">
        <v>5.0603360998846998E-2</v>
      </c>
      <c r="L15" s="20">
        <f t="shared" si="0"/>
        <v>4.8064929494872337E-2</v>
      </c>
      <c r="M15" s="57"/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600000</v>
      </c>
      <c r="K16" s="55">
        <v>5.5495175267468201E-2</v>
      </c>
      <c r="L16" s="20">
        <f>J16/$B$6</f>
        <v>5.5579243171684015E-2</v>
      </c>
      <c r="M16" s="57"/>
    </row>
    <row r="17" spans="1:13" ht="15" thickBot="1" x14ac:dyDescent="0.35">
      <c r="J17" s="33">
        <f>SUM(J10:J16)</f>
        <v>10523104.743528401</v>
      </c>
      <c r="K17" s="34">
        <f>SUM(K10:K16)</f>
        <v>0.99999999999999833</v>
      </c>
      <c r="L17" s="35">
        <f>SUM(L10:L16)</f>
        <v>0.97477699576944443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1.0994999999999999</v>
      </c>
      <c r="I22" s="22"/>
      <c r="J22" s="6">
        <f>D22*E22*H22</f>
        <v>6871874.9999999991</v>
      </c>
      <c r="K22" s="26">
        <f>SUM(K10:K11)</f>
        <v>0.6055617281070329</v>
      </c>
      <c r="L22" s="24">
        <f>SUM(J22:J24)/$B$6</f>
        <v>0.66089863356913137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1.0910955690608939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240848</v>
      </c>
      <c r="E24" s="25">
        <v>1</v>
      </c>
      <c r="F24" s="11" t="s">
        <v>4</v>
      </c>
      <c r="G24" s="61">
        <v>1.0910955690608939</v>
      </c>
      <c r="H24" s="11"/>
      <c r="I24" s="11"/>
      <c r="J24" s="13">
        <f>D24*G24</f>
        <v>262788.18561717815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1.2756566442576316</v>
      </c>
      <c r="H25" s="7"/>
      <c r="I25" s="7"/>
      <c r="J25" s="9">
        <f>D25*G25</f>
        <v>0</v>
      </c>
      <c r="K25" s="69">
        <f>K12</f>
        <v>6.0214639732575598E-2</v>
      </c>
      <c r="L25" s="69">
        <f>(SUM(J25:J26))/B6</f>
        <v>5.0994610844471717E-2</v>
      </c>
    </row>
    <row r="26" spans="1:13" ht="15" thickBot="1" x14ac:dyDescent="0.35">
      <c r="A26" s="64" t="s">
        <v>53</v>
      </c>
      <c r="B26" s="11"/>
      <c r="C26" s="11"/>
      <c r="D26" s="52">
        <v>431548</v>
      </c>
      <c r="E26" s="25">
        <v>1</v>
      </c>
      <c r="F26" s="11" t="s">
        <v>22</v>
      </c>
      <c r="G26" s="61">
        <v>1.2756566442576316</v>
      </c>
      <c r="H26" s="11"/>
      <c r="I26" s="11"/>
      <c r="J26" s="13">
        <f>D26*G26</f>
        <v>550507.07351609238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-6871874.9999999991</v>
      </c>
      <c r="K27" s="65">
        <f>SUM(K13:K16)</f>
        <v>0.33422363216039003</v>
      </c>
      <c r="L27" s="20">
        <f>SUM(J27:J31)/$B$6</f>
        <v>0.28809143424169598</v>
      </c>
    </row>
    <row r="28" spans="1:13" x14ac:dyDescent="0.3">
      <c r="A28" s="5" t="s">
        <v>13</v>
      </c>
      <c r="B28" s="5"/>
      <c r="C28" s="5"/>
      <c r="D28" s="49">
        <v>1843593.03</v>
      </c>
      <c r="E28" s="23">
        <v>1</v>
      </c>
      <c r="F28" s="7" t="s">
        <v>5</v>
      </c>
      <c r="G28" s="7"/>
      <c r="H28" s="4"/>
      <c r="I28" s="4"/>
      <c r="J28" s="6">
        <f>D28</f>
        <v>1843593.03</v>
      </c>
      <c r="K28" s="4"/>
      <c r="L28" s="4"/>
    </row>
    <row r="29" spans="1:13" x14ac:dyDescent="0.3">
      <c r="A29" s="5" t="s">
        <v>14</v>
      </c>
      <c r="B29" s="5"/>
      <c r="C29" s="5"/>
      <c r="D29" s="49">
        <v>8359778.2999999998</v>
      </c>
      <c r="E29" s="23">
        <v>1</v>
      </c>
      <c r="F29" s="7" t="s">
        <v>5</v>
      </c>
      <c r="G29" s="7"/>
      <c r="H29" s="4"/>
      <c r="I29" s="4"/>
      <c r="J29" s="6">
        <f>D29-J26-J24</f>
        <v>7546483.0408667298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10795231.689999999</v>
      </c>
      <c r="K32" s="42">
        <f>SUM(K22:K31)</f>
        <v>0.99999999999999845</v>
      </c>
      <c r="L32" s="42">
        <f>SUM(L22:L31)</f>
        <v>0.99998467865529905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1.0988500000000001</v>
      </c>
      <c r="I37" s="22"/>
      <c r="J37" s="6">
        <f>J22</f>
        <v>6871874.9999999991</v>
      </c>
      <c r="K37" s="26">
        <f>SUM(K10:K11)</f>
        <v>0.6055617281070329</v>
      </c>
      <c r="L37" s="24">
        <f>SUM(J37:J39)/$B$6</f>
        <v>0.66089863356913137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240848</v>
      </c>
      <c r="E39" s="25"/>
      <c r="F39" s="11" t="s">
        <v>4</v>
      </c>
      <c r="G39" s="11"/>
      <c r="H39" s="11"/>
      <c r="I39" s="11"/>
      <c r="J39" s="29">
        <f>J24</f>
        <v>262788.18561717815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6.0214639732575598E-2</v>
      </c>
      <c r="L40" s="69">
        <f>(SUM(J40:J41))/$B$6</f>
        <v>5.0994610844471717E-2</v>
      </c>
    </row>
    <row r="41" spans="1:12" ht="15" thickBot="1" x14ac:dyDescent="0.35">
      <c r="A41" s="11" t="s">
        <v>53</v>
      </c>
      <c r="B41" s="11"/>
      <c r="C41" s="11"/>
      <c r="D41" s="29">
        <v>431548</v>
      </c>
      <c r="E41" s="25"/>
      <c r="F41" s="11" t="s">
        <v>22</v>
      </c>
      <c r="G41" s="11"/>
      <c r="H41" s="11"/>
      <c r="I41" s="11"/>
      <c r="J41" s="29">
        <f>J26</f>
        <v>550507.07351609238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3110061.4308667309</v>
      </c>
      <c r="K42" s="71">
        <f>K27</f>
        <v>0.33422363216039003</v>
      </c>
      <c r="L42" s="71">
        <f>L27</f>
        <v>0.28809143424169598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10795231.689999999</v>
      </c>
      <c r="K43" s="42">
        <f>SUM(K37:K42)</f>
        <v>0.99999999999999845</v>
      </c>
      <c r="L43" s="42">
        <f>SUM(L37:L42)</f>
        <v>0.99998467865529905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Robin Zheng</cp:lastModifiedBy>
  <cp:lastPrinted>2023-10-26T11:58:35Z</cp:lastPrinted>
  <dcterms:created xsi:type="dcterms:W3CDTF">2020-10-26T15:50:05Z</dcterms:created>
  <dcterms:modified xsi:type="dcterms:W3CDTF">2026-03-11T19:10:35Z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