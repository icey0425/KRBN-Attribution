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B00A45D-78A3-4CDF-9F6C-32A8342AA1BD}" xr6:coauthVersionLast="47" xr6:coauthVersionMax="47" xr10:uidLastSave="{62AB9CBE-0741-4F9F-9FEB-00D6D960C150}"/>
  <bookViews>
    <workbookView xWindow="30195" yWindow="5235" windowWidth="2209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<sst xmlns="http://schemas.openxmlformats.org/spreadsheetml/2006/main" count="103" uniqueCount="56">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</sst>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45897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9028922.8500000015</v>
      </c>
      <c r="J6" t="s">
        <v>25</v>
      </c>
    </row>
    <row r="7" spans="1:13" x14ac:dyDescent="0.3">
      <c r="J7" s="57">
        <f>(D28+D29)/B6</f>
        <v>0.97849042757077043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1.1670517937586071</v>
      </c>
      <c r="H10" s="49">
        <v>71.72</v>
      </c>
      <c r="I10" s="4"/>
      <c r="J10" s="9">
        <f>D10*E10*G10*H10</f>
        <v>4854655.3696053037</v>
      </c>
      <c r="K10" s="54">
        <v>0.54164159155354497</v>
      </c>
      <c r="L10" s="20">
        <f t="shared" ref="L10:L15" si="0">J10/$B$6</f>
        <v>0.5376782424943749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1.1670517937586071</v>
      </c>
      <c r="H11" s="49">
        <v>73.63</v>
      </c>
      <c r="I11" s="4"/>
      <c r="J11" s="9">
        <f t="shared" ref="J11:J12" si="1">D11*E11*G11*H11</f>
        <v>429650.11787223117</v>
      </c>
      <c r="K11" s="54">
        <v>4.9277715905026102E-2</v>
      </c>
      <c r="L11" s="20">
        <f t="shared" si="0"/>
        <v>4.7585977309821746E-2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1.3512417912061183</v>
      </c>
      <c r="H12" s="49">
        <v>51.62</v>
      </c>
      <c r="I12" s="4"/>
      <c r="J12" s="9">
        <f t="shared" si="1"/>
        <v>418506.60757235892</v>
      </c>
      <c r="K12" s="54">
        <v>4.7448608802329102E-2</v>
      </c>
      <c r="L12" s="20">
        <f t="shared" si="0"/>
        <v>4.6351775790437602E-2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29.43</v>
      </c>
      <c r="I13" s="4"/>
      <c r="J13" s="9">
        <f>D13*E13*H13</f>
        <v>1765800</v>
      </c>
      <c r="K13" s="54">
        <v>0.206091308448549</v>
      </c>
      <c r="L13" s="20">
        <f t="shared" si="0"/>
        <v>0.19557150164374257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31.18</v>
      </c>
      <c r="I14" s="4"/>
      <c r="J14" s="9">
        <f>D14*E14*H14</f>
        <v>467700</v>
      </c>
      <c r="K14" s="54">
        <v>5.1176068142543003E-2</v>
      </c>
      <c r="L14" s="20">
        <f t="shared" ref="L14" si="2">J14/$B$6</f>
        <v>5.1800198957287574E-2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22.97</v>
      </c>
      <c r="I15" s="4"/>
      <c r="J15" s="9">
        <f>D15*E15*H15</f>
        <v>482370</v>
      </c>
      <c r="K15" s="54">
        <v>5.4033566289174398E-2</v>
      </c>
      <c r="L15" s="20">
        <f t="shared" si="0"/>
        <v>5.3424977487763106E-2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63.15</v>
      </c>
      <c r="I16" s="11"/>
      <c r="J16" s="13">
        <f>D16*E16*H16</f>
        <v>442050</v>
      </c>
      <c r="K16" s="55">
        <v>5.0331140858832599E-2</v>
      </c>
      <c r="L16" s="20">
        <f>J16/$B$6</f>
        <v>4.8959328520566538E-2</v>
      </c>
    </row>
    <row r="17" spans="1:13" ht="15" thickBot="1" x14ac:dyDescent="0.35">
      <c r="J17" s="33">
        <f>SUM(J10:J16)</f>
        <v>8860732.0950498953</v>
      </c>
      <c r="K17" s="34">
        <f>SUM(K10:K16)</f>
        <v>0.99999999999999922</v>
      </c>
      <c r="L17" s="35">
        <f>SUM(L10:L16)</f>
        <v>0.98137200220399401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1.17005</v>
      </c>
      <c r="I22" s="22"/>
      <c r="J22" s="6">
        <f>D22*E22*H22</f>
        <v>4387687.5</v>
      </c>
      <c r="K22" s="26">
        <f>SUM(K10:K11)</f>
        <v>0.59091930745857102</v>
      </c>
      <c r="L22" s="24">
        <f>SUM(J22:J24)/$B$6</f>
        <v>0.573596434328009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1.1670517937586071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678008</v>
      </c>
      <c r="E24" s="25">
        <v>1</v>
      </c>
      <c r="F24" s="11" t="s">
        <v>4</v>
      </c>
      <c r="G24" s="61">
        <v>1.1670517937586071</v>
      </c>
      <c r="H24" s="11"/>
      <c r="I24" s="11"/>
      <c r="J24" s="13">
        <f>D24*G24</f>
        <v>791270.45258268574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1.3512417912061183</v>
      </c>
      <c r="H25" s="7"/>
      <c r="I25" s="7"/>
      <c r="J25" s="9">
        <f>D25*G25</f>
        <v>0</v>
      </c>
      <c r="K25" s="69">
        <f>K12</f>
        <v>4.7448608802329102E-2</v>
      </c>
      <c r="L25" s="69">
        <f>(SUM(J25:J26))/B6</f>
        <v>4.7487223688287436E-2</v>
      </c>
    </row>
    <row r="26" spans="1:13" ht="15" thickBot="1" x14ac:dyDescent="0.35">
      <c r="A26" s="64" t="s">
        <v>53</v>
      </c>
      <c r="B26" s="11"/>
      <c r="C26" s="11"/>
      <c r="D26" s="52">
        <v>317307</v>
      </c>
      <c r="E26" s="25">
        <v>1</v>
      </c>
      <c r="F26" s="11" t="s">
        <v>22</v>
      </c>
      <c r="G26" s="61">
        <v>1.3512417912061183</v>
      </c>
      <c r="H26" s="11"/>
      <c r="I26" s="11"/>
      <c r="J26" s="13">
        <f>D26*G26</f>
        <v>428758.47904223978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-4387687.5</v>
      </c>
      <c r="K27" s="65">
        <f>SUM(K13:K16)</f>
        <v>0.361632083739099</v>
      </c>
      <c r="L27" s="20">
        <f>SUM(J27:J31)/$B$6</f>
        <v>0.38117243834629444</v>
      </c>
    </row>
    <row r="28" spans="1:13" x14ac:dyDescent="0.3">
      <c r="A28" s="5" t="s">
        <v>13</v>
      </c>
      <c r="B28" s="5"/>
      <c r="C28" s="5"/>
      <c r="D28" s="49">
        <v>1219280.28</v>
      </c>
      <c r="E28" s="23">
        <v>1</v>
      </c>
      <c r="F28" s="7" t="s">
        <v>5</v>
      </c>
      <c r="G28" s="7"/>
      <c r="H28" s="4"/>
      <c r="I28" s="4"/>
      <c r="J28" s="6">
        <f>D28</f>
        <v>1219280.28</v>
      </c>
      <c r="K28" s="4"/>
      <c r="L28" s="4"/>
    </row>
    <row r="29" spans="1:13" x14ac:dyDescent="0.3">
      <c r="A29" s="5" t="s">
        <v>14</v>
      </c>
      <c r="B29" s="5"/>
      <c r="C29" s="5"/>
      <c r="D29" s="49">
        <v>7615434.2999999998</v>
      </c>
      <c r="E29" s="23">
        <v>1</v>
      </c>
      <c r="F29" s="7" t="s">
        <v>5</v>
      </c>
      <c r="G29" s="7"/>
      <c r="H29" s="4"/>
      <c r="I29" s="4"/>
      <c r="J29" s="6">
        <f>D29-J26-J24</f>
        <v>6395405.3683750741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9049292.9699999988</v>
      </c>
      <c r="K32" s="42">
        <f>SUM(K22:K31)</f>
        <v>0.99999999999999911</v>
      </c>
      <c r="L32" s="42">
        <f>SUM(L22:L31)</f>
        <v>1.0022560963625908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1.17005</v>
      </c>
      <c r="I37" s="22"/>
      <c r="J37" s="6">
        <f>J22</f>
        <v>4387687.5</v>
      </c>
      <c r="K37" s="26">
        <f>SUM(K10:K11)</f>
        <v>0.59091930745857102</v>
      </c>
      <c r="L37" s="24">
        <f>SUM(J37:J39)/$B$6</f>
        <v>0.573596434328009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678008</v>
      </c>
      <c r="E39" s="25"/>
      <c r="F39" s="11" t="s">
        <v>4</v>
      </c>
      <c r="G39" s="11"/>
      <c r="H39" s="11"/>
      <c r="I39" s="11"/>
      <c r="J39" s="29">
        <f>J24</f>
        <v>791270.45258268574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4.7448608802329102E-2</v>
      </c>
      <c r="L40" s="69">
        <f>(SUM(J40:J41))/$B$6</f>
        <v>4.7487223688287436E-2</v>
      </c>
    </row>
    <row r="41" spans="1:12" ht="15" thickBot="1" x14ac:dyDescent="0.35">
      <c r="A41" s="11" t="s">
        <v>53</v>
      </c>
      <c r="B41" s="11"/>
      <c r="C41" s="11"/>
      <c r="D41" s="29">
        <v>317307</v>
      </c>
      <c r="E41" s="25"/>
      <c r="F41" s="11" t="s">
        <v>22</v>
      </c>
      <c r="G41" s="11"/>
      <c r="H41" s="11"/>
      <c r="I41" s="11"/>
      <c r="J41" s="29">
        <f>J26</f>
        <v>428758.47904223978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3441576.5383750745</v>
      </c>
      <c r="K42" s="71">
        <f>K27</f>
        <v>0.361632083739099</v>
      </c>
      <c r="L42" s="71">
        <f>L27</f>
        <v>0.38117243834629444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9049292.9699999988</v>
      </c>
      <c r="K43" s="42">
        <f>SUM(K37:K42)</f>
        <v>0.99999999999999911</v>
      </c>
      <c r="L43" s="42">
        <f>SUM(L37:L42)</f>
        <v>1.0022560963625908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2025-08-29T11:25:56Z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