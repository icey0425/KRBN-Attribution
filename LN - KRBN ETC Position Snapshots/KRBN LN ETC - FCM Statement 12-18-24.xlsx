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14_{81631BD8-3F9B-4FD1-A150-4B8489DAD8AF}" xr6:coauthVersionLast="47" xr6:coauthVersionMax="47" xr10:uidLastSave="{00000000-0000-0000-0000-000000000000}"/>
  <bookViews>
    <workbookView xWindow="29655" yWindow="780" windowWidth="20775" windowHeight="1222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<sst xmlns="http://schemas.openxmlformats.org/spreadsheetml/2006/main" count="95" uniqueCount="54">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</sst>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4" t="s">
        <v>35</v>
      </c>
      <c r="B1" s="22"/>
      <c r="C1" s="22"/>
      <c r="D1" s="22"/>
      <c r="E1" s="22"/>
      <c r="J1" s="48"/>
      <c r="K1" s="49"/>
      <c r="L1" s="50"/>
    </row>
    <row r="2" spans="1:12" ht="23.15" customHeight="1" x14ac:dyDescent="0.35">
      <c r="A2" t="s">
        <v>36</v>
      </c>
      <c r="J2" s="48"/>
      <c r="K2" s="49"/>
      <c r="L2" s="50"/>
    </row>
    <row r="3" spans="1:12" x14ac:dyDescent="0.35">
      <c r="A3" t="s">
        <v>15</v>
      </c>
      <c r="B3" s="62">
        <v>45644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 s="2">
        <v>0</v>
      </c>
    </row>
    <row r="6" spans="1:12" x14ac:dyDescent="0.35">
      <c r="A6" s="3" t="s">
        <v>19</v>
      </c>
      <c r="B6" s="39">
        <v>11070456.950000001</v>
      </c>
      <c r="J6" t="s">
        <v>27</v>
      </c>
    </row>
    <row r="7" spans="1:12" x14ac:dyDescent="0.35">
      <c r="J7" s="63">
        <f>(D26+D27)/B6</f>
        <v>0.94438872191269385</v>
      </c>
      <c r="K7" s="19"/>
    </row>
    <row r="8" spans="1:12" ht="15" thickBot="1" x14ac:dyDescent="0.4">
      <c r="A8" s="3" t="s">
        <v>28</v>
      </c>
    </row>
    <row r="9" spans="1:12" s="4" customFormat="1" ht="29.5" thickBot="1" x14ac:dyDescent="0.4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5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1.0471971767564114</v>
      </c>
      <c r="H10" s="54">
        <v>64.86</v>
      </c>
      <c r="I10" s="5"/>
      <c r="J10" s="10">
        <f>D10*E10*G10*H10</f>
        <v>5841223.9640601929</v>
      </c>
      <c r="K10" s="60">
        <v>0.537031976828098</v>
      </c>
      <c r="L10" s="21">
        <f t="shared" ref="L10:L15" si="0">J10/$B$6</f>
        <v>0.52764072797014872</v>
      </c>
    </row>
    <row r="11" spans="1:12" x14ac:dyDescent="0.35">
      <c r="A11" s="5" t="s">
        <v>37</v>
      </c>
      <c r="B11" s="6" t="s">
        <v>38</v>
      </c>
      <c r="C11" s="9" t="s">
        <v>39</v>
      </c>
      <c r="D11" s="53">
        <v>8</v>
      </c>
      <c r="E11" s="51">
        <v>1000</v>
      </c>
      <c r="F11" s="5" t="s">
        <v>4</v>
      </c>
      <c r="G11" s="70">
        <v>1.0471971767564114</v>
      </c>
      <c r="H11" s="54">
        <v>66.739999999999995</v>
      </c>
      <c r="I11" s="5"/>
      <c r="J11" s="10">
        <f t="shared" ref="J11:J12" si="1">D11*E11*G11*H11</f>
        <v>559119.51661378308</v>
      </c>
      <c r="K11" s="60">
        <v>4.8803048956612798E-2</v>
      </c>
      <c r="L11" s="21">
        <f t="shared" si="0"/>
        <v>5.0505549964112641E-2</v>
      </c>
    </row>
    <row r="12" spans="1:12" x14ac:dyDescent="0.35">
      <c r="A12" s="5" t="s">
        <v>40</v>
      </c>
      <c r="B12" s="6" t="s">
        <v>41</v>
      </c>
      <c r="C12" s="9" t="s">
        <v>42</v>
      </c>
      <c r="D12" s="53">
        <v>12</v>
      </c>
      <c r="E12" s="51">
        <v>1000</v>
      </c>
      <c r="F12" s="5" t="s">
        <v>22</v>
      </c>
      <c r="G12" s="70">
        <v>1.2690516377111385</v>
      </c>
      <c r="H12" s="54">
        <v>33.58</v>
      </c>
      <c r="I12" s="5"/>
      <c r="J12" s="10">
        <f t="shared" si="1"/>
        <v>511377.04793208034</v>
      </c>
      <c r="K12" s="60">
        <v>4.6506014596112297E-2</v>
      </c>
      <c r="L12" s="21">
        <f t="shared" si="0"/>
        <v>4.6192948515289635E-2</v>
      </c>
    </row>
    <row r="13" spans="1:12" x14ac:dyDescent="0.35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35.96</v>
      </c>
      <c r="I13" s="5"/>
      <c r="J13" s="10">
        <f>D13*E13*H13</f>
        <v>2265480</v>
      </c>
      <c r="K13" s="60">
        <v>0.21205455514145799</v>
      </c>
      <c r="L13" s="21">
        <f t="shared" si="0"/>
        <v>0.20464195924631637</v>
      </c>
    </row>
    <row r="14" spans="1:12" x14ac:dyDescent="0.35">
      <c r="A14" s="5" t="s">
        <v>43</v>
      </c>
      <c r="B14" s="6" t="s">
        <v>44</v>
      </c>
      <c r="C14" s="9" t="s">
        <v>45</v>
      </c>
      <c r="D14" s="53">
        <v>16</v>
      </c>
      <c r="E14" s="51">
        <v>1000</v>
      </c>
      <c r="F14" s="5" t="s">
        <v>5</v>
      </c>
      <c r="G14" s="52"/>
      <c r="H14" s="54">
        <v>38.200000000000003</v>
      </c>
      <c r="I14" s="5"/>
      <c r="J14" s="10">
        <f>D14*E14*H14</f>
        <v>611200</v>
      </c>
      <c r="K14" s="60">
        <v>5.3166928980556097E-2</v>
      </c>
      <c r="L14" s="21">
        <f t="shared" ref="L14" si="2">J14/$B$6</f>
        <v>5.5210006484872329E-2</v>
      </c>
    </row>
    <row r="15" spans="1:12" x14ac:dyDescent="0.35">
      <c r="A15" s="5" t="s">
        <v>46</v>
      </c>
      <c r="B15" s="6" t="s">
        <v>47</v>
      </c>
      <c r="C15" s="9" t="s">
        <v>48</v>
      </c>
      <c r="D15" s="53">
        <v>24</v>
      </c>
      <c r="E15" s="51">
        <v>1000</v>
      </c>
      <c r="F15" s="5" t="s">
        <v>5</v>
      </c>
      <c r="G15" s="5"/>
      <c r="H15" s="54">
        <v>24.31</v>
      </c>
      <c r="I15" s="5"/>
      <c r="J15" s="10">
        <f>D15*E15*H15</f>
        <v>583440</v>
      </c>
      <c r="K15" s="60">
        <v>5.4711121606728898E-2</v>
      </c>
      <c r="L15" s="21">
        <f t="shared" si="0"/>
        <v>5.2702431583007053E-2</v>
      </c>
    </row>
    <row r="16" spans="1:12" ht="15" thickBot="1" x14ac:dyDescent="0.4">
      <c r="A16" s="12" t="s">
        <v>49</v>
      </c>
      <c r="B16" s="13" t="s">
        <v>50</v>
      </c>
      <c r="C16" s="13" t="s">
        <v>51</v>
      </c>
      <c r="D16" s="55">
        <v>10</v>
      </c>
      <c r="E16" s="56">
        <v>1000</v>
      </c>
      <c r="F16" s="12" t="s">
        <v>5</v>
      </c>
      <c r="G16" s="12"/>
      <c r="H16" s="57">
        <v>53.51</v>
      </c>
      <c r="I16" s="12"/>
      <c r="J16" s="14">
        <f>D16*E16*H16</f>
        <v>535100</v>
      </c>
      <c r="K16" s="61">
        <v>4.7726353890432102E-2</v>
      </c>
      <c r="L16" s="21">
        <f>J16/$B$6</f>
        <v>4.8335854826660966E-2</v>
      </c>
    </row>
    <row r="17" spans="1:13" ht="15" thickBot="1" x14ac:dyDescent="0.4">
      <c r="J17" s="35">
        <f>SUM(J10:J16)</f>
        <v>10906940.528606057</v>
      </c>
      <c r="K17" s="36">
        <f>SUM(K10:K16)</f>
        <v>0.99999999999999811</v>
      </c>
      <c r="L17" s="37">
        <f>SUM(L10:L16)</f>
        <v>0.98522947859040755</v>
      </c>
    </row>
    <row r="18" spans="1:13" x14ac:dyDescent="0.35">
      <c r="J18" s="19"/>
      <c r="K18" s="19"/>
    </row>
    <row r="19" spans="1:13" x14ac:dyDescent="0.35">
      <c r="J19" s="19"/>
      <c r="K19" s="19"/>
      <c r="L19" s="19"/>
    </row>
    <row r="20" spans="1:13" ht="15" thickBot="1" x14ac:dyDescent="0.4">
      <c r="A20" s="3" t="s">
        <v>12</v>
      </c>
    </row>
    <row r="21" spans="1:13" ht="29.5" thickBot="1" x14ac:dyDescent="0.4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5">
      <c r="A22" s="5" t="s">
        <v>8</v>
      </c>
      <c r="B22" s="6" t="s">
        <v>52</v>
      </c>
      <c r="C22" s="6" t="s">
        <v>53</v>
      </c>
      <c r="D22" s="53">
        <v>52</v>
      </c>
      <c r="E22" s="51">
        <v>125000</v>
      </c>
      <c r="F22" s="5" t="s">
        <v>5</v>
      </c>
      <c r="G22" s="23"/>
      <c r="H22" s="58">
        <v>1.0418000000000001</v>
      </c>
      <c r="I22" s="23"/>
      <c r="J22" s="7">
        <f>D22*E22*H22</f>
        <v>6771700</v>
      </c>
      <c r="K22" s="27">
        <f>SUM(K10:K11)</f>
        <v>0.58583502578471081</v>
      </c>
      <c r="L22" s="25">
        <f>SUM(J22:J23)/$B$6</f>
        <v>0.61169110097122048</v>
      </c>
      <c r="M22" s="19"/>
    </row>
    <row r="23" spans="1:13" ht="15" thickBot="1" x14ac:dyDescent="0.4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1.0471971767564114</v>
      </c>
      <c r="H23" s="12"/>
      <c r="I23" s="12"/>
      <c r="J23" s="14">
        <f>D23*G23</f>
        <v>0</v>
      </c>
      <c r="K23" s="28"/>
      <c r="L23" s="30"/>
    </row>
    <row r="24" spans="1:13" ht="15" thickBot="1" x14ac:dyDescent="0.4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1.2690516377111385</v>
      </c>
      <c r="H24" s="41"/>
      <c r="I24" s="41"/>
      <c r="J24" s="43">
        <f>D24*G24</f>
        <v>0</v>
      </c>
      <c r="K24" s="44">
        <f>K12</f>
        <v>4.6506014596112297E-2</v>
      </c>
      <c r="L24" s="44">
        <f>J24/B6</f>
        <v>0</v>
      </c>
    </row>
    <row r="25" spans="1:13" x14ac:dyDescent="0.35">
      <c r="A25" s="5" t="s">
        <v>8</v>
      </c>
      <c r="B25" s="6" t="s">
        <v>52</v>
      </c>
      <c r="C25" s="6" t="s">
        <v>53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-6771700</v>
      </c>
      <c r="K25" s="29">
        <f>SUM(K13:K16)</f>
        <v>0.36765895961917511</v>
      </c>
      <c r="L25" s="25">
        <f>SUM(J25:J29)/$B$6</f>
        <v>0.38824171752007031</v>
      </c>
    </row>
    <row r="26" spans="1:13" x14ac:dyDescent="0.35">
      <c r="A26" s="6" t="s">
        <v>13</v>
      </c>
      <c r="B26" s="6"/>
      <c r="C26" s="6"/>
      <c r="D26" s="54">
        <v>1934408.52</v>
      </c>
      <c r="E26" s="24">
        <v>1</v>
      </c>
      <c r="F26" s="8" t="s">
        <v>5</v>
      </c>
      <c r="G26" s="8"/>
      <c r="H26" s="5"/>
      <c r="I26" s="5"/>
      <c r="J26" s="7">
        <f>D26</f>
        <v>1934408.52</v>
      </c>
      <c r="K26" s="5"/>
      <c r="L26" s="5"/>
    </row>
    <row r="27" spans="1:13" x14ac:dyDescent="0.35">
      <c r="A27" s="6" t="s">
        <v>14</v>
      </c>
      <c r="B27" s="6"/>
      <c r="C27" s="6"/>
      <c r="D27" s="54">
        <v>8520406.1699999999</v>
      </c>
      <c r="E27" s="24">
        <v>1</v>
      </c>
      <c r="F27" s="8" t="s">
        <v>5</v>
      </c>
      <c r="G27" s="8"/>
      <c r="H27" s="5"/>
      <c r="I27" s="5"/>
      <c r="J27" s="7">
        <f>D27</f>
        <v>8520406.1699999999</v>
      </c>
      <c r="K27" s="5"/>
      <c r="L27" s="5"/>
    </row>
    <row r="28" spans="1:13" x14ac:dyDescent="0.35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4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4">
      <c r="A30" s="1"/>
      <c r="B30" s="1"/>
      <c r="C30" s="1"/>
      <c r="D30" s="38"/>
      <c r="E30" s="1"/>
      <c r="J30" s="35">
        <f>SUM(J22:J29)</f>
        <v>11069713.219999999</v>
      </c>
      <c r="K30" s="46">
        <f>SUM(K22:K29)</f>
        <v>0.99999999999999822</v>
      </c>
      <c r="L30" s="46">
        <f>SUM(L22:L29)</f>
        <v>0.99993281849129079</v>
      </c>
    </row>
    <row r="31" spans="1:13" x14ac:dyDescent="0.35">
      <c r="A31" s="1"/>
      <c r="B31" s="38"/>
      <c r="C31" s="1"/>
      <c r="D31" s="1"/>
      <c r="E31" s="1"/>
    </row>
    <row r="32" spans="1:13" x14ac:dyDescent="0.35">
      <c r="A32" s="1"/>
      <c r="B32" s="1"/>
      <c r="C32" s="1"/>
      <c r="D32" s="1"/>
      <c r="E32" s="1"/>
    </row>
    <row r="33" spans="1:12" ht="15" thickBot="1" x14ac:dyDescent="0.4">
      <c r="A33" s="3" t="s">
        <v>16</v>
      </c>
    </row>
    <row r="34" spans="1:12" ht="29.5" thickBot="1" x14ac:dyDescent="0.4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5">
      <c r="A35" s="23" t="s">
        <v>8</v>
      </c>
      <c r="B35" s="40" t="s">
        <v>52</v>
      </c>
      <c r="C35" s="40" t="s">
        <v>53</v>
      </c>
      <c r="D35" s="24">
        <v>52</v>
      </c>
      <c r="E35" s="24">
        <v>125000</v>
      </c>
      <c r="F35" s="5" t="s">
        <v>5</v>
      </c>
      <c r="G35" s="23"/>
      <c r="H35" s="33">
        <v>1.0418000000000001</v>
      </c>
      <c r="I35" s="23"/>
      <c r="J35" s="7">
        <f>J22</f>
        <v>6771700</v>
      </c>
      <c r="K35" s="27">
        <f>SUM(K10:K11)</f>
        <v>0.58583502578471081</v>
      </c>
      <c r="L35" s="25">
        <f>SUM(J35:J36)/$B$6</f>
        <v>0.61169110097122048</v>
      </c>
    </row>
    <row r="36" spans="1:12" ht="15" thickBot="1" x14ac:dyDescent="0.4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4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4.6506014596112297E-2</v>
      </c>
      <c r="L37" s="44">
        <f>J37/$B$6</f>
        <v>0</v>
      </c>
    </row>
    <row r="38" spans="1:12" ht="15" thickBot="1" x14ac:dyDescent="0.4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4298013.22</v>
      </c>
      <c r="K38" s="67">
        <f>K25</f>
        <v>0.36765895961917511</v>
      </c>
      <c r="L38" s="67">
        <f>L25</f>
        <v>0.38824171752007031</v>
      </c>
    </row>
    <row r="39" spans="1:12" ht="15" thickBot="1" x14ac:dyDescent="0.4">
      <c r="A39" s="1"/>
      <c r="B39" s="1"/>
      <c r="C39" s="1"/>
      <c r="D39" s="1"/>
      <c r="E39" s="1"/>
      <c r="J39" s="35">
        <f>SUM(J35:J38)</f>
        <v>11069713.219999999</v>
      </c>
      <c r="K39" s="46">
        <f>SUM(K35:K38)</f>
        <v>0.99999999999999822</v>
      </c>
      <c r="L39" s="46">
        <f>SUM(L35:L38)</f>
        <v>0.99993281849129079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2024-12-19T14:34:15Z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