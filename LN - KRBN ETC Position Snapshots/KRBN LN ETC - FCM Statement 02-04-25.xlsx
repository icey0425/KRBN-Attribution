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5669394-D9E3-45AF-A6CB-208D7EDF509A}" xr6:coauthVersionLast="47" xr6:coauthVersionMax="47" xr10:uidLastSave="{A88D283A-AC11-4D22-8149-03F3CE52F13A}"/>
  <bookViews>
    <workbookView xWindow="29985" yWindow="3930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<sst xmlns="http://schemas.openxmlformats.org/spreadsheetml/2006/main" count="103" uniqueCount="56">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</sst>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45692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12328826.92</v>
      </c>
      <c r="J6" t="s">
        <v>25</v>
      </c>
    </row>
    <row r="7" spans="1:12" x14ac:dyDescent="0.3">
      <c r="J7" s="58">
        <f>(D28+D29)/B6</f>
        <v>0.95249494020798531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1.0380550999647062</v>
      </c>
      <c r="H10" s="50">
        <v>80.88</v>
      </c>
      <c r="I10" s="5"/>
      <c r="J10" s="10">
        <f>D10*E10*G10*H10</f>
        <v>7220379.097722508</v>
      </c>
      <c r="K10" s="55">
        <v>0.59838384917429499</v>
      </c>
      <c r="L10" s="21">
        <f t="shared" ref="L10:L15" si="0">J10/$B$6</f>
        <v>0.58565013075246486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1.0380550999647062</v>
      </c>
      <c r="H11" s="50">
        <v>83.14</v>
      </c>
      <c r="I11" s="5"/>
      <c r="J11" s="10">
        <f t="shared" ref="J11:J12" si="1">D11*E11*G11*H11</f>
        <v>690431.20808852534</v>
      </c>
      <c r="K11" s="55">
        <v>5.4323318473341403E-2</v>
      </c>
      <c r="L11" s="21">
        <f t="shared" si="0"/>
        <v>5.6001370817242796E-2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1.2477540427230984</v>
      </c>
      <c r="H12" s="50">
        <v>44.09</v>
      </c>
      <c r="I12" s="5"/>
      <c r="J12" s="10">
        <f t="shared" si="1"/>
        <v>660161.70892393705</v>
      </c>
      <c r="K12" s="55">
        <v>5.4118313653888001E-2</v>
      </c>
      <c r="L12" s="21">
        <f t="shared" si="0"/>
        <v>5.3546190015289555E-2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30.73</v>
      </c>
      <c r="I13" s="5"/>
      <c r="J13" s="10">
        <f>D13*E13*H13</f>
        <v>1935990</v>
      </c>
      <c r="K13" s="55">
        <v>0.163349332005991</v>
      </c>
      <c r="L13" s="21">
        <f t="shared" si="0"/>
        <v>0.1570295383788225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32.76</v>
      </c>
      <c r="I14" s="5"/>
      <c r="J14" s="10">
        <f>D14*E14*H14</f>
        <v>524159.99999999994</v>
      </c>
      <c r="K14" s="55">
        <v>4.1100677918703199E-2</v>
      </c>
      <c r="L14" s="21">
        <f t="shared" ref="L14" si="2">J14/$B$6</f>
        <v>4.2514993794721873E-2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22.25</v>
      </c>
      <c r="I15" s="5"/>
      <c r="J15" s="10">
        <f>D15*E15*H15</f>
        <v>534000</v>
      </c>
      <c r="K15" s="55">
        <v>4.5268895416075899E-2</v>
      </c>
      <c r="L15" s="21">
        <f t="shared" si="0"/>
        <v>4.3313123256985428E-2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54.05</v>
      </c>
      <c r="I16" s="12"/>
      <c r="J16" s="14">
        <f>D16*E16*H16</f>
        <v>540500</v>
      </c>
      <c r="K16" s="56">
        <v>4.34556133577036E-2</v>
      </c>
      <c r="L16" s="21">
        <f>J16/$B$6</f>
        <v>4.3840342922098548E-2</v>
      </c>
    </row>
    <row r="17" spans="1:13" ht="15" thickBot="1" x14ac:dyDescent="0.35">
      <c r="J17" s="34">
        <f>SUM(J10:J16)</f>
        <v>12105622.01473497</v>
      </c>
      <c r="K17" s="35">
        <f>SUM(K10:K16)</f>
        <v>0.99999999999999811</v>
      </c>
      <c r="L17" s="36">
        <f>SUM(L10:L16)</f>
        <v>0.98189568993762566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1.0402</v>
      </c>
      <c r="I22" s="23"/>
      <c r="J22" s="7">
        <f>D22*E22*H22</f>
        <v>6501250</v>
      </c>
      <c r="K22" s="27">
        <f>SUM(K10:K11)</f>
        <v>0.65270716764763637</v>
      </c>
      <c r="L22" s="25">
        <f>SUM(J22:J24)/$B$6</f>
        <v>0.65638488152229646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1.0380550999647062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1532872</v>
      </c>
      <c r="E24" s="26">
        <v>1</v>
      </c>
      <c r="F24" s="12" t="s">
        <v>4</v>
      </c>
      <c r="G24" s="62">
        <v>1.0380550999647062</v>
      </c>
      <c r="H24" s="12"/>
      <c r="I24" s="12"/>
      <c r="J24" s="14">
        <f>D24*G24</f>
        <v>1591205.5971930991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1.2477540427230984</v>
      </c>
      <c r="H25" s="8"/>
      <c r="I25" s="8"/>
      <c r="J25" s="10">
        <f>D25*G25</f>
        <v>0</v>
      </c>
      <c r="K25" s="70">
        <f>K12</f>
        <v>5.4118313653888001E-2</v>
      </c>
      <c r="L25" s="70">
        <f>(SUM(J25:J26))/B6</f>
        <v>4.6565794200413631E-2</v>
      </c>
    </row>
    <row r="26" spans="1:13" ht="15" thickBot="1" x14ac:dyDescent="0.35">
      <c r="A26" s="65" t="s">
        <v>55</v>
      </c>
      <c r="B26" s="12"/>
      <c r="C26" s="12"/>
      <c r="D26" s="53">
        <v>460108</v>
      </c>
      <c r="E26" s="26">
        <v>1</v>
      </c>
      <c r="F26" s="12" t="s">
        <v>22</v>
      </c>
      <c r="G26" s="62">
        <v>1.2477540427230984</v>
      </c>
      <c r="H26" s="12"/>
      <c r="I26" s="12"/>
      <c r="J26" s="14">
        <f>D26*G26</f>
        <v>574101.61708923941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-6501250</v>
      </c>
      <c r="K27" s="66">
        <f>SUM(K13:K16)</f>
        <v>0.29317451869847372</v>
      </c>
      <c r="L27" s="21">
        <f>SUM(J27:J31)/$B$6</f>
        <v>0.29911979863512111</v>
      </c>
    </row>
    <row r="28" spans="1:13" x14ac:dyDescent="0.3">
      <c r="A28" s="6" t="s">
        <v>13</v>
      </c>
      <c r="B28" s="6"/>
      <c r="C28" s="6"/>
      <c r="D28" s="50">
        <v>1927265.58</v>
      </c>
      <c r="E28" s="24">
        <v>1</v>
      </c>
      <c r="F28" s="8" t="s">
        <v>5</v>
      </c>
      <c r="G28" s="8"/>
      <c r="H28" s="5"/>
      <c r="I28" s="5"/>
      <c r="J28" s="7">
        <f>D28</f>
        <v>1927265.58</v>
      </c>
      <c r="K28" s="5"/>
      <c r="L28" s="5"/>
    </row>
    <row r="29" spans="1:13" x14ac:dyDescent="0.3">
      <c r="A29" s="6" t="s">
        <v>14</v>
      </c>
      <c r="B29" s="6"/>
      <c r="C29" s="6"/>
      <c r="D29" s="50">
        <v>9815879.6799999997</v>
      </c>
      <c r="E29" s="24">
        <v>1</v>
      </c>
      <c r="F29" s="8" t="s">
        <v>5</v>
      </c>
      <c r="G29" s="8"/>
      <c r="H29" s="5"/>
      <c r="I29" s="5"/>
      <c r="J29" s="7">
        <f>D29-J26-J24</f>
        <v>7650572.4657176603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611208.18000000005</v>
      </c>
      <c r="E31" s="26">
        <v>1</v>
      </c>
      <c r="F31" s="12" t="s">
        <v>5</v>
      </c>
      <c r="G31" s="12"/>
      <c r="H31" s="12"/>
      <c r="I31" s="12"/>
      <c r="J31" s="14">
        <f>D31</f>
        <v>611208.18000000005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12354353.439999999</v>
      </c>
      <c r="K32" s="43">
        <f>SUM(K22:K31)</f>
        <v>0.999999999999998</v>
      </c>
      <c r="L32" s="43">
        <f>SUM(L22:L31)</f>
        <v>1.0020704743578313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1.0402</v>
      </c>
      <c r="I37" s="23"/>
      <c r="J37" s="7">
        <f>J22</f>
        <v>6501250</v>
      </c>
      <c r="K37" s="27">
        <f>SUM(K10:K11)</f>
        <v>0.65270716764763637</v>
      </c>
      <c r="L37" s="25">
        <f>SUM(J37:J39)/$B$6</f>
        <v>0.65638488152229646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1532872</v>
      </c>
      <c r="E39" s="26"/>
      <c r="F39" s="12" t="s">
        <v>4</v>
      </c>
      <c r="G39" s="12"/>
      <c r="H39" s="12"/>
      <c r="I39" s="12"/>
      <c r="J39" s="30">
        <f>J24</f>
        <v>1591205.5971930991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5.4118313653888001E-2</v>
      </c>
      <c r="L40" s="70">
        <f>(SUM(J40:J41))/$B$6</f>
        <v>4.6565794200413631E-2</v>
      </c>
    </row>
    <row r="41" spans="1:12" ht="15" thickBot="1" x14ac:dyDescent="0.35">
      <c r="A41" s="12" t="s">
        <v>55</v>
      </c>
      <c r="B41" s="12"/>
      <c r="C41" s="12"/>
      <c r="D41" s="30">
        <v>460108</v>
      </c>
      <c r="E41" s="26"/>
      <c r="F41" s="12" t="s">
        <v>22</v>
      </c>
      <c r="G41" s="12"/>
      <c r="H41" s="12"/>
      <c r="I41" s="12"/>
      <c r="J41" s="30">
        <f>J26</f>
        <v>574101.61708923941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3687796.2257176605</v>
      </c>
      <c r="K42" s="72">
        <f>K27</f>
        <v>0.29317451869847372</v>
      </c>
      <c r="L42" s="72">
        <f>L27</f>
        <v>0.29911979863512111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12354353.439999999</v>
      </c>
      <c r="K43" s="43">
        <f>SUM(K37:K42)</f>
        <v>0.999999999999998</v>
      </c>
      <c r="L43" s="43">
        <f>SUM(L37:L42)</f>
        <v>1.0020704743578313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2025-02-05T14:08:35Z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