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4A33416-0673-43CE-A525-8C66FCE59A14}" xr6:coauthVersionLast="47" xr6:coauthVersionMax="47" xr10:uidLastSave="{ADC82A0A-FEA9-402F-9DD1-F295CEBD53FB}"/>
  <bookViews>
    <workbookView xWindow="29715" yWindow="393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<sst xmlns="http://schemas.openxmlformats.org/spreadsheetml/2006/main" count="91" uniqueCount="51">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</sst>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11942335.07</v>
      </c>
      <c r="J6" t="s">
        <v>27</v>
      </c>
    </row>
    <row r="7" spans="1:12" x14ac:dyDescent="0.3">
      <c r="J7" s="63">
        <f>(D25+D26)/B6</f>
        <v>0.94843224324302922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1.0586491636671607</v>
      </c>
      <c r="H10" s="54">
        <v>68.13</v>
      </c>
      <c r="I10" s="5"/>
      <c r="J10" s="10">
        <f>D10*E10*G10*H10</f>
        <v>6419193.3093372853</v>
      </c>
      <c r="K10" s="60">
        <v>0.55431373092616698</v>
      </c>
      <c r="L10" s="21">
        <f t="shared" ref="L10:L14" si="0">J10/$B$6</f>
        <v>0.53751575983349842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1.0586491636671607</v>
      </c>
      <c r="H11" s="54">
        <v>70.260000000000005</v>
      </c>
      <c r="I11" s="5"/>
      <c r="J11" s="10">
        <f t="shared" ref="J11:J12" si="1">D11*E11*G11*H11</f>
        <v>595045.52191403764</v>
      </c>
      <c r="K11" s="60">
        <v>4.98614473894552E-2</v>
      </c>
      <c r="L11" s="21">
        <f t="shared" si="0"/>
        <v>4.9826563936297058E-2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1.2665442340573745</v>
      </c>
      <c r="H12" s="54">
        <v>37.08</v>
      </c>
      <c r="I12" s="5"/>
      <c r="J12" s="10">
        <f t="shared" si="1"/>
        <v>469634.60198847443</v>
      </c>
      <c r="K12" s="60">
        <v>4.2648132326710997E-2</v>
      </c>
      <c r="L12" s="21">
        <f t="shared" si="0"/>
        <v>3.9325190528963647E-2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34.01</v>
      </c>
      <c r="I13" s="5"/>
      <c r="J13" s="10">
        <f>D13*E13*H13</f>
        <v>2754810</v>
      </c>
      <c r="K13" s="60">
        <v>0.24518562528167201</v>
      </c>
      <c r="L13" s="21">
        <f t="shared" si="0"/>
        <v>0.23067599291534532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36.07</v>
      </c>
      <c r="I14" s="5"/>
      <c r="J14" s="10">
        <f>D14*E14*H14</f>
        <v>541050</v>
      </c>
      <c r="K14" s="60">
        <v>4.8638327801071399E-2</v>
      </c>
      <c r="L14" s="21">
        <f t="shared" si="0"/>
        <v>4.530521014764996E-2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22.99</v>
      </c>
      <c r="I15" s="12"/>
      <c r="J15" s="14">
        <f>D15*E15*H15</f>
        <v>689700</v>
      </c>
      <c r="K15" s="61">
        <v>5.9352736274922498E-2</v>
      </c>
      <c r="L15" s="21">
        <f>J15/$B$6</f>
        <v>5.7752524607400754E-2</v>
      </c>
    </row>
    <row r="16" spans="1:12" ht="15" thickBot="1" x14ac:dyDescent="0.35">
      <c r="J16" s="35">
        <f>SUM(J10:J15)</f>
        <v>11469433.433239799</v>
      </c>
      <c r="K16" s="36">
        <f>SUM(K10:K15)</f>
        <v>0.999999999999999</v>
      </c>
      <c r="L16" s="37">
        <f>SUM(L10:L15)</f>
        <v>0.96040124196915522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1.0605</v>
      </c>
      <c r="I21" s="23"/>
      <c r="J21" s="7">
        <f>D21*E21*H21</f>
        <v>6893250</v>
      </c>
      <c r="K21" s="27">
        <f>SUM(K10:K11)</f>
        <v>0.60417517831562217</v>
      </c>
      <c r="L21" s="25">
        <f>SUM(J21:J22)/$B$6</f>
        <v>0.57721123713203604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1.0586491636671607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1.2665442340573745</v>
      </c>
      <c r="H23" s="41"/>
      <c r="I23" s="41"/>
      <c r="J23" s="43">
        <f>D23*G23</f>
        <v>0</v>
      </c>
      <c r="K23" s="44">
        <f>K12</f>
        <v>4.2648132326710997E-2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-6893250</v>
      </c>
      <c r="K24" s="29">
        <f>SUM(K13:K15)</f>
        <v>0.35317668935766589</v>
      </c>
      <c r="L24" s="25">
        <f>SUM(J24:J28)/$B$6</f>
        <v>0.42318235339883148</v>
      </c>
    </row>
    <row r="25" spans="1:13" x14ac:dyDescent="0.3">
      <c r="A25" s="6" t="s">
        <v>13</v>
      </c>
      <c r="B25" s="6"/>
      <c r="C25" s="6"/>
      <c r="D25" s="54">
        <v>1947195.35</v>
      </c>
      <c r="E25" s="24">
        <v>1</v>
      </c>
      <c r="F25" s="8" t="s">
        <v>5</v>
      </c>
      <c r="G25" s="8"/>
      <c r="H25" s="5"/>
      <c r="I25" s="5"/>
      <c r="J25" s="7">
        <f>D25</f>
        <v>1947195.35</v>
      </c>
      <c r="K25" s="5"/>
      <c r="L25" s="5"/>
    </row>
    <row r="26" spans="1:13" x14ac:dyDescent="0.3">
      <c r="A26" s="6" t="s">
        <v>14</v>
      </c>
      <c r="B26" s="6"/>
      <c r="C26" s="6"/>
      <c r="D26" s="54">
        <v>9379300.2899999991</v>
      </c>
      <c r="E26" s="24">
        <v>1</v>
      </c>
      <c r="F26" s="8" t="s">
        <v>5</v>
      </c>
      <c r="G26" s="8"/>
      <c r="H26" s="5"/>
      <c r="I26" s="5"/>
      <c r="J26" s="7">
        <f>D26</f>
        <v>9379300.2899999991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11947035.459999999</v>
      </c>
      <c r="K29" s="46">
        <f>SUM(K21:K28)</f>
        <v>0.999999999999999</v>
      </c>
      <c r="L29" s="46">
        <f>SUM(L21:L28)</f>
        <v>1.0003935905308676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1.0605</v>
      </c>
      <c r="I34" s="23"/>
      <c r="J34" s="7">
        <f>J21</f>
        <v>6893250</v>
      </c>
      <c r="K34" s="27">
        <f>SUM(K10:K11)</f>
        <v>0.60417517831562217</v>
      </c>
      <c r="L34" s="25">
        <f>SUM(J34:J35)/$B$6</f>
        <v>0.57721123713203604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4.2648132326710997E-2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5053785.459999999</v>
      </c>
      <c r="K37" s="67">
        <f>K24</f>
        <v>0.35317668935766589</v>
      </c>
      <c r="L37" s="67">
        <f>L24</f>
        <v>0.42318235339883148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11947035.459999999</v>
      </c>
      <c r="K38" s="46">
        <f>SUM(K34:K37)</f>
        <v>0.999999999999999</v>
      </c>
      <c r="L38" s="46">
        <f>SUM(L34:L37)</f>
        <v>1.0003935905308676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2024-11-20T13:05:21Z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