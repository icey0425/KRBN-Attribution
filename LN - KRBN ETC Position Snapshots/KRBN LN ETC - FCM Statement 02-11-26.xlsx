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F02B86C-50EE-4EF6-A4A0-5184A0A33CA3}" xr6:coauthVersionLast="47" xr6:coauthVersionMax="47" xr10:uidLastSave="{AA082C2C-DD73-4D42-A92C-447826880A50}"/>
  <bookViews>
    <workbookView xWindow="32625" yWindow="4275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<sst xmlns="http://schemas.openxmlformats.org/spreadsheetml/2006/main" count="95" uniqueCount="50">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</sst>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46064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10849225.460000001</v>
      </c>
      <c r="J6" t="s">
        <v>25</v>
      </c>
    </row>
    <row r="7" spans="1:12" x14ac:dyDescent="0.3">
      <c r="J7" s="57">
        <f>(D26+D27)/B6</f>
        <v>0.83974184088898085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1.1859441894664438</v>
      </c>
      <c r="H10" s="49">
        <v>78.45</v>
      </c>
      <c r="I10" s="4"/>
      <c r="J10" s="9">
        <f>D10*E10*G10*H10</f>
        <v>6419575.1947913328</v>
      </c>
      <c r="K10" s="54">
        <v>0.59999552634195896</v>
      </c>
      <c r="L10" s="20">
        <f t="shared" ref="L10:L13" si="0">J10/$B$6</f>
        <v>0.59170815635269625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1.3632521743872181</v>
      </c>
      <c r="H11" s="49">
        <v>49.26</v>
      </c>
      <c r="I11" s="4"/>
      <c r="J11" s="9">
        <f t="shared" ref="J11" si="1">D11*E11*G11*H11</f>
        <v>470076.61477220058</v>
      </c>
      <c r="K11" s="54">
        <v>4.4354797002367899E-2</v>
      </c>
      <c r="L11" s="20">
        <f t="shared" si="0"/>
        <v>4.332812664879402E-2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29.71</v>
      </c>
      <c r="I12" s="4"/>
      <c r="J12" s="9">
        <f>D12*E12*H12</f>
        <v>2673900</v>
      </c>
      <c r="K12" s="54">
        <v>0.25494329002739202</v>
      </c>
      <c r="L12" s="20">
        <f t="shared" si="0"/>
        <v>0.24645999014937972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23.34</v>
      </c>
      <c r="I13" s="4"/>
      <c r="J13" s="9">
        <f>D13*E13*H13</f>
        <v>466800</v>
      </c>
      <c r="K13" s="54">
        <v>4.2755271135559603E-2</v>
      </c>
      <c r="L13" s="20">
        <f t="shared" si="0"/>
        <v>4.3026112944287542E-2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73.95</v>
      </c>
      <c r="I14" s="11"/>
      <c r="J14" s="13">
        <f>D14*E14*H14</f>
        <v>591600</v>
      </c>
      <c r="K14" s="55">
        <v>5.7951115492720903E-2</v>
      </c>
      <c r="L14" s="20">
        <f>J14/$B$6</f>
        <v>5.4529238255870846E-2</v>
      </c>
    </row>
    <row r="15" spans="1:12" ht="15" thickBot="1" x14ac:dyDescent="0.35">
      <c r="J15" s="33">
        <f>SUM(J10:J14)</f>
        <v>10621951.809563532</v>
      </c>
      <c r="K15" s="34">
        <f>SUM(K10:K14)</f>
        <v>0.99999999999999944</v>
      </c>
      <c r="L15" s="35">
        <f>SUM(L10:L14)</f>
        <v>0.97905162435102833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1.1898</v>
      </c>
      <c r="I20" s="22"/>
      <c r="J20" s="6">
        <f>D20*E20*H20</f>
        <v>5354100</v>
      </c>
      <c r="K20" s="26">
        <f>SUM(K10:K10)</f>
        <v>0.59999552634195896</v>
      </c>
      <c r="L20" s="24">
        <f>SUM(J20:J22)/$B$6</f>
        <v>0.59182956427847611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1.1859441894664438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899530</v>
      </c>
      <c r="E22" s="25">
        <v>1</v>
      </c>
      <c r="F22" s="11" t="s">
        <v>4</v>
      </c>
      <c r="G22" s="61">
        <v>1.1859441894664438</v>
      </c>
      <c r="H22" s="11"/>
      <c r="I22" s="11"/>
      <c r="J22" s="13">
        <f>D22*G22</f>
        <v>1066792.3767507502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1.3632521743872181</v>
      </c>
      <c r="H23" s="7"/>
      <c r="I23" s="7"/>
      <c r="J23" s="9">
        <f>D23*G23</f>
        <v>0</v>
      </c>
      <c r="K23" s="69">
        <f>K11</f>
        <v>4.4354797002367899E-2</v>
      </c>
      <c r="L23" s="69">
        <f>(SUM(J23:J24))/B6</f>
        <v>3.392308840428309E-2</v>
      </c>
    </row>
    <row r="24" spans="1:13" ht="15" thickBot="1" x14ac:dyDescent="0.35">
      <c r="A24" s="64" t="s">
        <v>38</v>
      </c>
      <c r="B24" s="11"/>
      <c r="C24" s="11"/>
      <c r="D24" s="52">
        <v>269971.5</v>
      </c>
      <c r="E24" s="25">
        <v>1</v>
      </c>
      <c r="F24" s="11" t="s">
        <v>22</v>
      </c>
      <c r="G24" s="61">
        <v>1.3632521743872181</v>
      </c>
      <c r="H24" s="11"/>
      <c r="I24" s="11"/>
      <c r="J24" s="13">
        <f>D24*G24</f>
        <v>368039.23439757887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-5354100</v>
      </c>
      <c r="K25" s="65">
        <f>SUM(K12:K14)</f>
        <v>0.35564967665567254</v>
      </c>
      <c r="L25" s="20">
        <f>SUM(J25:J29)/$B$6</f>
        <v>0.37439572841651225</v>
      </c>
    </row>
    <row r="26" spans="1:13" x14ac:dyDescent="0.3">
      <c r="A26" s="5" t="s">
        <v>13</v>
      </c>
      <c r="B26" s="5"/>
      <c r="C26" s="5"/>
      <c r="D26" s="49">
        <v>1551765.52</v>
      </c>
      <c r="E26" s="23">
        <v>1</v>
      </c>
      <c r="F26" s="7" t="s">
        <v>5</v>
      </c>
      <c r="G26" s="7"/>
      <c r="H26" s="4"/>
      <c r="I26" s="4"/>
      <c r="J26" s="6">
        <f>D26</f>
        <v>1551765.52</v>
      </c>
      <c r="K26" s="4"/>
      <c r="L26" s="4"/>
    </row>
    <row r="27" spans="1:13" x14ac:dyDescent="0.3">
      <c r="A27" s="5" t="s">
        <v>14</v>
      </c>
      <c r="B27" s="5"/>
      <c r="C27" s="5"/>
      <c r="D27" s="49">
        <v>7558783.04</v>
      </c>
      <c r="E27" s="23">
        <v>1</v>
      </c>
      <c r="F27" s="7" t="s">
        <v>5</v>
      </c>
      <c r="G27" s="7"/>
      <c r="H27" s="4"/>
      <c r="I27" s="4"/>
      <c r="J27" s="6">
        <f>D27-J24-J22</f>
        <v>6123951.4288516706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10850835.280000001</v>
      </c>
      <c r="K30" s="42">
        <f>SUM(K20:K29)</f>
        <v>0.99999999999999933</v>
      </c>
      <c r="L30" s="42">
        <f>SUM(L20:L29)</f>
        <v>1.0001483810992715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1.1898</v>
      </c>
      <c r="I35" s="22"/>
      <c r="J35" s="6">
        <f>J20</f>
        <v>5354100</v>
      </c>
      <c r="K35" s="26">
        <f>SUM(K10:K10)</f>
        <v>0.59999552634195896</v>
      </c>
      <c r="L35" s="24">
        <f>SUM(J35:J37)/$B$6</f>
        <v>0.59182956427847611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899530</v>
      </c>
      <c r="E37" s="25"/>
      <c r="F37" s="11" t="s">
        <v>4</v>
      </c>
      <c r="G37" s="11"/>
      <c r="H37" s="11"/>
      <c r="I37" s="11"/>
      <c r="J37" s="29">
        <f>J22</f>
        <v>1066792.3767507502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4.4354797002367899E-2</v>
      </c>
      <c r="L38" s="69">
        <f>(SUM(J38:J39))/$B$6</f>
        <v>3.392308840428309E-2</v>
      </c>
    </row>
    <row r="39" spans="1:12" ht="15" thickBot="1" x14ac:dyDescent="0.35">
      <c r="A39" s="11" t="s">
        <v>38</v>
      </c>
      <c r="B39" s="11"/>
      <c r="C39" s="11"/>
      <c r="D39" s="29">
        <v>269971.5</v>
      </c>
      <c r="E39" s="25"/>
      <c r="F39" s="11" t="s">
        <v>22</v>
      </c>
      <c r="G39" s="11"/>
      <c r="H39" s="11"/>
      <c r="I39" s="11"/>
      <c r="J39" s="29">
        <f>J24</f>
        <v>368039.23439757887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4061903.6688516708</v>
      </c>
      <c r="K40" s="71">
        <f>K25</f>
        <v>0.35564967665567254</v>
      </c>
      <c r="L40" s="71">
        <f>L25</f>
        <v>0.37439572841651225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10850835.280000001</v>
      </c>
      <c r="K41" s="42">
        <f>SUM(K35:K40)</f>
        <v>0.99999999999999933</v>
      </c>
      <c r="L41" s="42">
        <f>SUM(L35:L40)</f>
        <v>1.0001483810992715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2026-02-12T13:20:50Z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