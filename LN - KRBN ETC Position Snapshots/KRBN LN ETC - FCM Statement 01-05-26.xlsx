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E3AC993-E5D5-4EAE-9BE5-D4DE2CB9F862}" xr6:coauthVersionLast="47" xr6:coauthVersionMax="47" xr10:uidLastSave="{B2011381-48AE-4C03-86B3-A7BF93012798}"/>
  <bookViews>
    <workbookView xWindow="30210" yWindow="6510" windowWidth="2212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<sst xmlns="http://schemas.openxmlformats.org/spreadsheetml/2006/main" count="95" uniqueCount="50">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</sst>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12109340.199999999</v>
      </c>
      <c r="J6" t="s">
        <v>25</v>
      </c>
    </row>
    <row r="7" spans="1:12" x14ac:dyDescent="0.3">
      <c r="J7" s="57">
        <f>(D26+D27)/B6</f>
        <v>0.85744951322781404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1.1704530823881925</v>
      </c>
      <c r="H10" s="49">
        <v>87.25</v>
      </c>
      <c r="I10" s="4"/>
      <c r="J10" s="9">
        <f>D10*E10*G10*H10</f>
        <v>7046420.1692475155</v>
      </c>
      <c r="K10" s="54">
        <v>0.588241998459058</v>
      </c>
      <c r="L10" s="20">
        <f t="shared" ref="L10:L13" si="0">J10/$B$6</f>
        <v>0.58189959592080132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1.350347714536493</v>
      </c>
      <c r="H11" s="49">
        <v>67.14</v>
      </c>
      <c r="I11" s="4"/>
      <c r="J11" s="9">
        <f t="shared" ref="J11" si="1">D11*E11*G11*H11</f>
        <v>634636.418877861</v>
      </c>
      <c r="K11" s="54">
        <v>5.3486897780538799E-2</v>
      </c>
      <c r="L11" s="20">
        <f t="shared" si="0"/>
        <v>5.2408835526634313E-2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34.14</v>
      </c>
      <c r="I12" s="4"/>
      <c r="J12" s="9">
        <f>D12*E12*H12</f>
        <v>3072600</v>
      </c>
      <c r="K12" s="54">
        <v>0.261669734024015</v>
      </c>
      <c r="L12" s="20">
        <f t="shared" si="0"/>
        <v>0.25373801951653818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25.95</v>
      </c>
      <c r="I13" s="4"/>
      <c r="J13" s="9">
        <f>D13*E13*H13</f>
        <v>519000</v>
      </c>
      <c r="K13" s="54">
        <v>4.2459533402793397E-2</v>
      </c>
      <c r="L13" s="20">
        <f t="shared" si="0"/>
        <v>4.2859478008554094E-2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77.349999999999994</v>
      </c>
      <c r="I14" s="11"/>
      <c r="J14" s="13">
        <f>D14*E14*H14</f>
        <v>541450</v>
      </c>
      <c r="K14" s="55">
        <v>5.4141836333593797E-2</v>
      </c>
      <c r="L14" s="20">
        <f>J14/$B$6</f>
        <v>4.4713418820292131E-2</v>
      </c>
    </row>
    <row r="15" spans="1:12" ht="15" thickBot="1" x14ac:dyDescent="0.35">
      <c r="J15" s="33">
        <f>SUM(J10:J14)</f>
        <v>11814106.588125376</v>
      </c>
      <c r="K15" s="34">
        <f>SUM(K10:K14)</f>
        <v>0.99999999999999911</v>
      </c>
      <c r="L15" s="35">
        <f>SUM(L10:L14)</f>
        <v>0.97561934779282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1.1766000000000001</v>
      </c>
      <c r="I20" s="22"/>
      <c r="J20" s="6">
        <f>D20*E20*H20</f>
        <v>5294700</v>
      </c>
      <c r="K20" s="26">
        <f>SUM(K10:K10)</f>
        <v>0.588241998459058</v>
      </c>
      <c r="L20" s="24">
        <f>SUM(J20:J22)/$B$6</f>
        <v>0.58287707308997405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1.1704530823881925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1506730</v>
      </c>
      <c r="E22" s="25">
        <v>1</v>
      </c>
      <c r="F22" s="11" t="s">
        <v>4</v>
      </c>
      <c r="G22" s="61">
        <v>1.1704530823881925</v>
      </c>
      <c r="H22" s="11"/>
      <c r="I22" s="11"/>
      <c r="J22" s="13">
        <f>D22*G22</f>
        <v>1763556.7728267612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1.350347714536493</v>
      </c>
      <c r="H23" s="7"/>
      <c r="I23" s="7"/>
      <c r="J23" s="9">
        <f>D23*G23</f>
        <v>0</v>
      </c>
      <c r="K23" s="69">
        <f>K11</f>
        <v>5.3486897780538799E-2</v>
      </c>
      <c r="L23" s="69">
        <f>(SUM(J23:J24))/B6</f>
        <v>4.4062261787506503E-2</v>
      </c>
    </row>
    <row r="24" spans="1:13" ht="15" thickBot="1" x14ac:dyDescent="0.35">
      <c r="A24" s="64" t="s">
        <v>38</v>
      </c>
      <c r="B24" s="11"/>
      <c r="C24" s="11"/>
      <c r="D24" s="52">
        <v>395131.5</v>
      </c>
      <c r="E24" s="25">
        <v>1</v>
      </c>
      <c r="F24" s="11" t="s">
        <v>22</v>
      </c>
      <c r="G24" s="61">
        <v>1.350347714536493</v>
      </c>
      <c r="H24" s="11"/>
      <c r="I24" s="11"/>
      <c r="J24" s="13">
        <f>D24*G24</f>
        <v>533564.91796637629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-5294700</v>
      </c>
      <c r="K25" s="65">
        <f>SUM(K12:K14)</f>
        <v>0.35827110376040222</v>
      </c>
      <c r="L25" s="20">
        <f>SUM(J25:J29)/$B$6</f>
        <v>0.37510418356293795</v>
      </c>
    </row>
    <row r="26" spans="1:13" x14ac:dyDescent="0.3">
      <c r="A26" s="5" t="s">
        <v>13</v>
      </c>
      <c r="B26" s="5"/>
      <c r="C26" s="5"/>
      <c r="D26" s="49">
        <v>1473844.44</v>
      </c>
      <c r="E26" s="23">
        <v>1</v>
      </c>
      <c r="F26" s="7" t="s">
        <v>5</v>
      </c>
      <c r="G26" s="7"/>
      <c r="H26" s="4"/>
      <c r="I26" s="4"/>
      <c r="J26" s="6">
        <f>D26</f>
        <v>1473844.44</v>
      </c>
      <c r="K26" s="4"/>
      <c r="L26" s="4"/>
    </row>
    <row r="27" spans="1:13" x14ac:dyDescent="0.3">
      <c r="A27" s="5" t="s">
        <v>14</v>
      </c>
      <c r="B27" s="5"/>
      <c r="C27" s="5"/>
      <c r="D27" s="49">
        <v>8909303.4199999999</v>
      </c>
      <c r="E27" s="23">
        <v>1</v>
      </c>
      <c r="F27" s="7" t="s">
        <v>5</v>
      </c>
      <c r="G27" s="7"/>
      <c r="H27" s="4"/>
      <c r="I27" s="4"/>
      <c r="J27" s="6">
        <f>D27-J24-J22</f>
        <v>6612181.7292068629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1750938</v>
      </c>
      <c r="E29" s="25">
        <v>1</v>
      </c>
      <c r="F29" s="11" t="s">
        <v>5</v>
      </c>
      <c r="G29" s="11"/>
      <c r="H29" s="11"/>
      <c r="I29" s="11"/>
      <c r="J29" s="13">
        <f>D29</f>
        <v>1750938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12134085.859999999</v>
      </c>
      <c r="K30" s="42">
        <f>SUM(K20:K29)</f>
        <v>0.99999999999999911</v>
      </c>
      <c r="L30" s="42">
        <f>SUM(L20:L29)</f>
        <v>1.0020435184404186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1.1766000000000001</v>
      </c>
      <c r="I35" s="22"/>
      <c r="J35" s="6">
        <f>J20</f>
        <v>5294700</v>
      </c>
      <c r="K35" s="26">
        <f>SUM(K10:K10)</f>
        <v>0.588241998459058</v>
      </c>
      <c r="L35" s="24">
        <f>SUM(J35:J37)/$B$6</f>
        <v>0.58287707308997405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1506730</v>
      </c>
      <c r="E37" s="25"/>
      <c r="F37" s="11" t="s">
        <v>4</v>
      </c>
      <c r="G37" s="11"/>
      <c r="H37" s="11"/>
      <c r="I37" s="11"/>
      <c r="J37" s="29">
        <f>J22</f>
        <v>1763556.7728267612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5.3486897780538799E-2</v>
      </c>
      <c r="L38" s="69">
        <f>(SUM(J38:J39))/$B$6</f>
        <v>4.4062261787506503E-2</v>
      </c>
    </row>
    <row r="39" spans="1:12" ht="15" thickBot="1" x14ac:dyDescent="0.35">
      <c r="A39" s="11" t="s">
        <v>38</v>
      </c>
      <c r="B39" s="11"/>
      <c r="C39" s="11"/>
      <c r="D39" s="29">
        <v>395131.5</v>
      </c>
      <c r="E39" s="25"/>
      <c r="F39" s="11" t="s">
        <v>22</v>
      </c>
      <c r="G39" s="11"/>
      <c r="H39" s="11"/>
      <c r="I39" s="11"/>
      <c r="J39" s="29">
        <f>J24</f>
        <v>533564.91796637629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4542264.1692068633</v>
      </c>
      <c r="K40" s="71">
        <f>K25</f>
        <v>0.35827110376040222</v>
      </c>
      <c r="L40" s="71">
        <f>L25</f>
        <v>0.37510418356293795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12134085.859999999</v>
      </c>
      <c r="K41" s="42">
        <f>SUM(K35:K40)</f>
        <v>0.99999999999999911</v>
      </c>
      <c r="L41" s="42">
        <f>SUM(L35:L40)</f>
        <v>1.0020435184404186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2026-01-06T13:08:04Z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