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47F472C-A4E9-40E3-9042-BE3A9AF9E01E}" xr6:coauthVersionLast="47" xr6:coauthVersionMax="47" xr10:uidLastSave="{6DFF88DC-0461-4695-94F2-1F6A53E2E9EC}"/>
  <bookViews>
    <workbookView xWindow="30855" yWindow="5085" windowWidth="2209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<sst xmlns="http://schemas.openxmlformats.org/spreadsheetml/2006/main" count="103" uniqueCount="56">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</sst>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9150456.4299999997</v>
      </c>
      <c r="J6" t="s">
        <v>25</v>
      </c>
    </row>
    <row r="7" spans="1:13" x14ac:dyDescent="0.3">
      <c r="J7" s="57">
        <f>(D28+D29)/B6</f>
        <v>0.97862612739635768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1.1663031688457097</v>
      </c>
      <c r="H10" s="49">
        <v>73.61</v>
      </c>
      <c r="I10" s="4"/>
      <c r="J10" s="9">
        <f>D10*E10*G10*H10</f>
        <v>4979391.4230064964</v>
      </c>
      <c r="K10" s="54">
        <v>0.546914705037858</v>
      </c>
      <c r="L10" s="20">
        <f t="shared" ref="L10:L15" si="0">J10/$B$6</f>
        <v>0.54416863913820046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1.1663031688457097</v>
      </c>
      <c r="H11" s="49">
        <v>75.55</v>
      </c>
      <c r="I11" s="4"/>
      <c r="J11" s="9">
        <f t="shared" ref="J11:J12" si="1">D11*E11*G11*H11</f>
        <v>440571.02203146683</v>
      </c>
      <c r="K11" s="54">
        <v>4.97440677004274E-2</v>
      </c>
      <c r="L11" s="20">
        <f t="shared" si="0"/>
        <v>4.8147436731903748E-2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1.339853955918805</v>
      </c>
      <c r="H12" s="49">
        <v>53.95</v>
      </c>
      <c r="I12" s="4"/>
      <c r="J12" s="9">
        <f t="shared" si="1"/>
        <v>433710.72553091717</v>
      </c>
      <c r="K12" s="54">
        <v>4.8406942375110201E-2</v>
      </c>
      <c r="L12" s="20">
        <f t="shared" si="0"/>
        <v>4.7397714949932522E-2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29.36</v>
      </c>
      <c r="I13" s="4"/>
      <c r="J13" s="9">
        <f>D13*E13*H13</f>
        <v>1761600</v>
      </c>
      <c r="K13" s="54">
        <v>0.202402424822202</v>
      </c>
      <c r="L13" s="20">
        <f t="shared" si="0"/>
        <v>0.19251498692726959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31.11</v>
      </c>
      <c r="I14" s="4"/>
      <c r="J14" s="9">
        <f>D14*E14*H14</f>
        <v>466650</v>
      </c>
      <c r="K14" s="54">
        <v>5.0266779503412802E-2</v>
      </c>
      <c r="L14" s="20">
        <f t="shared" ref="L14" si="2">J14/$B$6</f>
        <v>5.0997456090832401E-2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</v>
      </c>
      <c r="I15" s="4"/>
      <c r="J15" s="9">
        <f>D15*E15*H15</f>
        <v>480899.99999999994</v>
      </c>
      <c r="K15" s="54">
        <v>5.3030822757081798E-2</v>
      </c>
      <c r="L15" s="20">
        <f t="shared" si="0"/>
        <v>5.2554755457154823E-2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4.9234257803906202E-2</v>
      </c>
      <c r="L16" s="20">
        <f>J16/$B$6</f>
        <v>4.8003069940851031E-2</v>
      </c>
    </row>
    <row r="17" spans="1:13" ht="15" thickBot="1" x14ac:dyDescent="0.35">
      <c r="J17" s="33">
        <f>SUM(J10:J16)</f>
        <v>9002073.1705688797</v>
      </c>
      <c r="K17" s="34">
        <f>SUM(K10:K16)</f>
        <v>0.99999999999999856</v>
      </c>
      <c r="L17" s="35">
        <f>SUM(L10:L16)</f>
        <v>0.98378405923614454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1.16435</v>
      </c>
      <c r="I22" s="22"/>
      <c r="J22" s="6">
        <f>D22*E22*H22</f>
        <v>4366312.5</v>
      </c>
      <c r="K22" s="26">
        <f>SUM(K10:K11)</f>
        <v>0.59665877273828538</v>
      </c>
      <c r="L22" s="24">
        <f>SUM(J22:J24)/$B$6</f>
        <v>0.57878228077553151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1.1663031688457097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797228</v>
      </c>
      <c r="E24" s="25">
        <v>1</v>
      </c>
      <c r="F24" s="11" t="s">
        <v>4</v>
      </c>
      <c r="G24" s="61">
        <v>1.1663031688457097</v>
      </c>
      <c r="H24" s="11"/>
      <c r="I24" s="11"/>
      <c r="J24" s="13">
        <f>D24*G24</f>
        <v>929809.54269252752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1.339853955918805</v>
      </c>
      <c r="H25" s="7"/>
      <c r="I25" s="7"/>
      <c r="J25" s="9">
        <f>D25*G25</f>
        <v>0</v>
      </c>
      <c r="K25" s="69">
        <f>K12</f>
        <v>4.8406942375110201E-2</v>
      </c>
      <c r="L25" s="69">
        <f>(SUM(J25:J26))/B6</f>
        <v>4.8508640076052816E-2</v>
      </c>
    </row>
    <row r="26" spans="1:13" ht="15" thickBot="1" x14ac:dyDescent="0.35">
      <c r="A26" s="64" t="s">
        <v>53</v>
      </c>
      <c r="B26" s="11"/>
      <c r="C26" s="11"/>
      <c r="D26" s="52">
        <v>331287</v>
      </c>
      <c r="E26" s="25">
        <v>1</v>
      </c>
      <c r="F26" s="11" t="s">
        <v>22</v>
      </c>
      <c r="G26" s="61">
        <v>1.339853955918805</v>
      </c>
      <c r="H26" s="11"/>
      <c r="I26" s="11"/>
      <c r="J26" s="13">
        <f>D26*G26</f>
        <v>443876.19749447313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-4366312.5</v>
      </c>
      <c r="K27" s="65">
        <f>SUM(K13:K16)</f>
        <v>0.35493428488660284</v>
      </c>
      <c r="L27" s="20">
        <f>SUM(J27:J31)/$B$6</f>
        <v>0.37486037948524492</v>
      </c>
    </row>
    <row r="28" spans="1:13" x14ac:dyDescent="0.3">
      <c r="A28" s="5" t="s">
        <v>13</v>
      </c>
      <c r="B28" s="5"/>
      <c r="C28" s="5"/>
      <c r="D28" s="49">
        <v>1216547.55</v>
      </c>
      <c r="E28" s="23">
        <v>1</v>
      </c>
      <c r="F28" s="7" t="s">
        <v>5</v>
      </c>
      <c r="G28" s="7"/>
      <c r="H28" s="4"/>
      <c r="I28" s="4"/>
      <c r="J28" s="6">
        <f>D28</f>
        <v>1216547.55</v>
      </c>
      <c r="K28" s="4"/>
      <c r="L28" s="4"/>
    </row>
    <row r="29" spans="1:13" x14ac:dyDescent="0.3">
      <c r="A29" s="5" t="s">
        <v>14</v>
      </c>
      <c r="B29" s="5"/>
      <c r="C29" s="5"/>
      <c r="D29" s="49">
        <v>7738328.1900000004</v>
      </c>
      <c r="E29" s="23">
        <v>1</v>
      </c>
      <c r="F29" s="7" t="s">
        <v>5</v>
      </c>
      <c r="G29" s="7"/>
      <c r="H29" s="4"/>
      <c r="I29" s="4"/>
      <c r="J29" s="6">
        <f>D29-J26-J24</f>
        <v>6364642.4498129999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215266.07</v>
      </c>
      <c r="E31" s="25">
        <v>1</v>
      </c>
      <c r="F31" s="11" t="s">
        <v>5</v>
      </c>
      <c r="G31" s="11"/>
      <c r="H31" s="11"/>
      <c r="I31" s="11"/>
      <c r="J31" s="13">
        <f>D31</f>
        <v>215266.07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9170141.8100000005</v>
      </c>
      <c r="K32" s="42">
        <f>SUM(K22:K31)</f>
        <v>0.99999999999999845</v>
      </c>
      <c r="L32" s="42">
        <f>SUM(L22:L31)</f>
        <v>1.0021513003368292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1.16435</v>
      </c>
      <c r="I37" s="22"/>
      <c r="J37" s="6">
        <f>J22</f>
        <v>4366312.5</v>
      </c>
      <c r="K37" s="26">
        <f>SUM(K10:K11)</f>
        <v>0.59665877273828538</v>
      </c>
      <c r="L37" s="24">
        <f>SUM(J37:J39)/$B$6</f>
        <v>0.57878228077553151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797228</v>
      </c>
      <c r="E39" s="25"/>
      <c r="F39" s="11" t="s">
        <v>4</v>
      </c>
      <c r="G39" s="11"/>
      <c r="H39" s="11"/>
      <c r="I39" s="11"/>
      <c r="J39" s="29">
        <f>J24</f>
        <v>929809.54269252752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4.8406942375110201E-2</v>
      </c>
      <c r="L40" s="69">
        <f>(SUM(J40:J41))/$B$6</f>
        <v>4.8508640076052816E-2</v>
      </c>
    </row>
    <row r="41" spans="1:12" ht="15" thickBot="1" x14ac:dyDescent="0.35">
      <c r="A41" s="11" t="s">
        <v>53</v>
      </c>
      <c r="B41" s="11"/>
      <c r="C41" s="11"/>
      <c r="D41" s="29">
        <v>331287</v>
      </c>
      <c r="E41" s="25"/>
      <c r="F41" s="11" t="s">
        <v>22</v>
      </c>
      <c r="G41" s="11"/>
      <c r="H41" s="11"/>
      <c r="I41" s="11"/>
      <c r="J41" s="29">
        <f>J26</f>
        <v>443876.19749447313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3430143.5698129996</v>
      </c>
      <c r="K42" s="71">
        <f>K27</f>
        <v>0.35493428488660284</v>
      </c>
      <c r="L42" s="71">
        <f>L27</f>
        <v>0.37486037948524492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9170141.8100000005</v>
      </c>
      <c r="K43" s="42">
        <f>SUM(K37:K42)</f>
        <v>0.99999999999999845</v>
      </c>
      <c r="L43" s="42">
        <f>SUM(L37:L42)</f>
        <v>1.0021513003368292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2025-09-03T11:12:45Z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