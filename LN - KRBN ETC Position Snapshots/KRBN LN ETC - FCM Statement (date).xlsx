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KRBN LN ETC/"/>
    </mc:Choice>
  </mc:AlternateContent>
  <xr:revisionPtr revIDLastSave="10" documentId="8_{775FA992-C384-4AD3-85A6-7FE2D041A0EC}" xr6:coauthVersionLast="47" xr6:coauthVersionMax="47" xr10:uidLastSave="{D51E63D0-2D96-40D2-A4FE-35E6E8456F7F}"/>
  <bookViews>
    <workbookView xWindow="30060" yWindow="363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0" i="1" l="1"/>
  <c r="J28" i="1"/>
  <c r="K38" i="1"/>
  <c r="K36" i="1"/>
  <c r="J29" i="1"/>
  <c r="J26" i="1"/>
  <c r="J25" i="1"/>
  <c r="K24" i="1"/>
  <c r="K39" i="1" s="1"/>
  <c r="K23" i="1"/>
  <c r="J23" i="1"/>
  <c r="J38" i="1" s="1"/>
  <c r="L38" i="1" s="1"/>
  <c r="J22" i="1"/>
  <c r="J37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K4" i="1"/>
  <c r="L24" i="1" l="1"/>
  <c r="L39" i="1" s="1"/>
  <c r="K40" i="1"/>
  <c r="K31" i="1"/>
  <c r="L23" i="1"/>
  <c r="J31" i="1"/>
  <c r="J36" i="1"/>
  <c r="L36" i="1" s="1"/>
  <c r="L16" i="1"/>
  <c r="J39" i="1"/>
  <c r="L21" i="1"/>
  <c r="J16" i="1"/>
  <c r="L40" i="1" l="1"/>
  <c r="J40" i="1"/>
  <c r="L31" i="1"/>
</calcChain>
</file>

<file path=xl/sharedStrings.xml><?xml version="1.0" encoding="utf-8"?>
<sst xmlns="http://schemas.openxmlformats.org/spreadsheetml/2006/main" count="100" uniqueCount="59">
  <si>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</si>
  <si>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</si>
  <si>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</si>
  <si>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</si>
  <si>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</si>
  <si>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</si>
  <si>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</si>
  <si>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</si>
  <si>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</si>
  <si>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</si>
  <si>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</si>
  <si>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</si>
  <si>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</si>
  <si>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</si>
  <si>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</si>
  <si>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</si>
  <si>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</si>
  <si>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</si>
  <si>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</si>
  <si>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</si>
  <si>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</si>
  <si>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</si>
  <si>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</si>
  <si>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StoneX EUAs Limit:</t>
  </si>
  <si>
    <t>Remaining Balance: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</si>
  <si>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</si>
  <si>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</si>
  <si>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</si>
  <si>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</si>
  <si>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</si>
  <si>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</si>
  <si>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</si>
  <si>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</si>
  <si>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</si>
  <si>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</si>
  <si>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</si>
  <si>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Money Market Bal</t>
  </si>
  <si>
    <t>Futures</t>
  </si>
  <si>
    <t>GVMXX US</t>
  </si>
  <si>
    <t>State Street Institutional USGovt MMF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</si>
  <si>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</si>
  <si>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</si>
  <si>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</si>
  <si>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</si>
  <si>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</si>
  <si>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</si>
  <si>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</si>
  <si>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</si>
  <si>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</si>
  <si>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</si>
  <si>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</si>
  <si>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</si>
  <si>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KCSH</t>
  </si>
  <si>
    <t>KCSH US</t>
  </si>
  <si>
    <t>KRANESHARES SUST U S D I ETF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</si>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</sst>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0" fontId="0" fillId="0" borderId="12" xfId="0" applyBorder="1"/>
    <xf numFmtId="164" fontId="0" fillId="0" borderId="13" xfId="1" applyNumberFormat="1" applyFont="1" applyBorder="1"/>
    <xf numFmtId="0" fontId="2" fillId="0" borderId="14" xfId="0" applyFont="1" applyBorder="1"/>
    <xf numFmtId="164" fontId="2" fillId="0" borderId="15" xfId="1" applyNumberFormat="1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0"/>
  <sheetViews>
    <sheetView tabSelected="1" zoomScale="90" zoomScaleNormal="90" workbookViewId="0">
      <selection activeCell="A2" sqref="A2"/>
    </sheetView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57</v>
      </c>
      <c r="B1" s="22"/>
      <c r="C1" s="22"/>
      <c r="D1" s="22"/>
      <c r="E1" s="22"/>
      <c r="J1" s="48"/>
      <c r="K1" s="49"/>
      <c r="L1" s="50"/>
    </row>
    <row r="2" spans="1:12" ht="23.1" customHeight="1" thickBot="1" x14ac:dyDescent="0.35">
      <c r="A2" t="s">
        <v>58</v>
      </c>
      <c r="J2" s="48"/>
      <c r="K2" s="49"/>
      <c r="L2" s="50"/>
    </row>
    <row r="3" spans="1:12" x14ac:dyDescent="0.3">
      <c r="A3" t="s">
        <v>15</v>
      </c>
      <c r="B3" s="66"/>
      <c r="J3" s="51" t="s">
        <v>23</v>
      </c>
      <c r="K3" s="52">
        <v>20000</v>
      </c>
    </row>
    <row r="4" spans="1:12" ht="15" thickBot="1" x14ac:dyDescent="0.35">
      <c r="A4" t="s">
        <v>20</v>
      </c>
      <c r="B4">
        <v>0</v>
      </c>
      <c r="J4" s="53" t="s">
        <v>24</v>
      </c>
      <c r="K4" s="54">
        <f>K3-(SUM(D10:D11))</f>
        <v>20000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/>
      <c r="J6" t="s">
        <v>29</v>
      </c>
    </row>
    <row r="7" spans="1:12" x14ac:dyDescent="0.3">
      <c r="J7" s="67" t="e">
        <f>(D25+D26)/B6</f>
        <v>#DIV/0!</v>
      </c>
      <c r="K7" s="19"/>
    </row>
    <row r="8" spans="1:12" ht="15" thickBot="1" x14ac:dyDescent="0.35">
      <c r="A8" s="3" t="s">
        <v>37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30</v>
      </c>
      <c r="B10" s="6" t="s">
        <v>31</v>
      </c>
      <c r="C10" s="9" t="s">
        <v>32</v>
      </c>
      <c r="D10" s="57"/>
      <c r="E10" s="55">
        <v>1000</v>
      </c>
      <c r="F10" s="5" t="s">
        <v>4</v>
      </c>
      <c r="G10" s="74"/>
      <c r="H10" s="58"/>
      <c r="I10" s="5"/>
      <c r="J10" s="10">
        <f>D10*E10*G10*H10</f>
        <v>0</v>
      </c>
      <c r="K10" s="64">
        <v>0.542369447099877</v>
      </c>
      <c r="L10" s="21" t="e">
        <f t="shared" ref="L10:L14" si="0">J10/$B$6</f>
        <v>#DIV/0!</v>
      </c>
    </row>
    <row r="11" spans="1:12" x14ac:dyDescent="0.3">
      <c r="A11" s="5" t="s">
        <v>40</v>
      </c>
      <c r="B11" s="6" t="s">
        <v>41</v>
      </c>
      <c r="C11" s="9" t="s">
        <v>42</v>
      </c>
      <c r="D11" s="57"/>
      <c r="E11" s="55">
        <v>1000</v>
      </c>
      <c r="F11" s="5" t="s">
        <v>4</v>
      </c>
      <c r="G11" s="74"/>
      <c r="H11" s="58"/>
      <c r="I11" s="5"/>
      <c r="J11" s="10">
        <f t="shared" ref="J11:J12" si="1">D11*E11*G11*H11</f>
        <v>0</v>
      </c>
      <c r="K11" s="64">
        <v>4.8843124501861797E-2</v>
      </c>
      <c r="L11" s="21" t="e">
        <f t="shared" si="0"/>
        <v>#DIV/0!</v>
      </c>
    </row>
    <row r="12" spans="1:12" x14ac:dyDescent="0.3">
      <c r="A12" s="5" t="s">
        <v>43</v>
      </c>
      <c r="B12" s="6" t="s">
        <v>44</v>
      </c>
      <c r="C12" s="9" t="s">
        <v>45</v>
      </c>
      <c r="D12" s="57"/>
      <c r="E12" s="55">
        <v>1000</v>
      </c>
      <c r="F12" s="5" t="s">
        <v>22</v>
      </c>
      <c r="G12" s="74"/>
      <c r="H12" s="58"/>
      <c r="I12" s="5"/>
      <c r="J12" s="10">
        <f t="shared" si="1"/>
        <v>0</v>
      </c>
      <c r="K12" s="64">
        <v>4.6558825658193199E-2</v>
      </c>
      <c r="L12" s="21" t="e">
        <f t="shared" si="0"/>
        <v>#DIV/0!</v>
      </c>
    </row>
    <row r="13" spans="1:12" x14ac:dyDescent="0.3">
      <c r="A13" s="5" t="s">
        <v>33</v>
      </c>
      <c r="B13" s="6" t="s">
        <v>34</v>
      </c>
      <c r="C13" s="9" t="s">
        <v>35</v>
      </c>
      <c r="D13" s="57"/>
      <c r="E13" s="55">
        <v>1000</v>
      </c>
      <c r="F13" s="5" t="s">
        <v>5</v>
      </c>
      <c r="G13" s="56"/>
      <c r="H13" s="58"/>
      <c r="I13" s="5"/>
      <c r="J13" s="10">
        <f>D13*E13*H13</f>
        <v>0</v>
      </c>
      <c r="K13" s="64">
        <v>0.25603711309136701</v>
      </c>
      <c r="L13" s="21" t="e">
        <f t="shared" si="0"/>
        <v>#DIV/0!</v>
      </c>
    </row>
    <row r="14" spans="1:12" x14ac:dyDescent="0.3">
      <c r="A14" s="5" t="s">
        <v>46</v>
      </c>
      <c r="B14" s="6" t="s">
        <v>47</v>
      </c>
      <c r="C14" s="9" t="s">
        <v>48</v>
      </c>
      <c r="D14" s="57"/>
      <c r="E14" s="55">
        <v>1000</v>
      </c>
      <c r="F14" s="5" t="s">
        <v>5</v>
      </c>
      <c r="G14" s="5"/>
      <c r="H14" s="58"/>
      <c r="I14" s="5"/>
      <c r="J14" s="10">
        <f>D14*E14*H14</f>
        <v>0</v>
      </c>
      <c r="K14" s="64">
        <v>5.0504135542601601E-2</v>
      </c>
      <c r="L14" s="21" t="e">
        <f t="shared" si="0"/>
        <v>#DIV/0!</v>
      </c>
    </row>
    <row r="15" spans="1:12" ht="15" thickBot="1" x14ac:dyDescent="0.35">
      <c r="A15" s="12" t="s">
        <v>49</v>
      </c>
      <c r="B15" s="13" t="s">
        <v>50</v>
      </c>
      <c r="C15" s="13" t="s">
        <v>51</v>
      </c>
      <c r="D15" s="59"/>
      <c r="E15" s="60">
        <v>1000</v>
      </c>
      <c r="F15" s="12" t="s">
        <v>5</v>
      </c>
      <c r="G15" s="12"/>
      <c r="H15" s="61"/>
      <c r="I15" s="12"/>
      <c r="J15" s="14">
        <f>D15*E15*H15</f>
        <v>0</v>
      </c>
      <c r="K15" s="65">
        <v>5.5687354106098097E-2</v>
      </c>
      <c r="L15" s="21" t="e">
        <f>J15/$B$6</f>
        <v>#DIV/0!</v>
      </c>
    </row>
    <row r="16" spans="1:12" ht="15" thickBot="1" x14ac:dyDescent="0.35">
      <c r="J16" s="35">
        <f>SUM(J10:J15)</f>
        <v>0</v>
      </c>
      <c r="K16" s="36">
        <f>SUM(K10:K15)</f>
        <v>0.99999999999999867</v>
      </c>
      <c r="L16" s="37" t="e">
        <f>SUM(L10:L15)</f>
        <v>#DIV/0!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55</v>
      </c>
      <c r="C21" s="6" t="s">
        <v>56</v>
      </c>
      <c r="D21" s="57"/>
      <c r="E21" s="55">
        <v>125000</v>
      </c>
      <c r="F21" s="5" t="s">
        <v>5</v>
      </c>
      <c r="G21" s="23"/>
      <c r="H21" s="62"/>
      <c r="I21" s="23"/>
      <c r="J21" s="7">
        <f>D21*E21*H21</f>
        <v>0</v>
      </c>
      <c r="K21" s="27">
        <f>SUM(K10:K11)</f>
        <v>0.59121257160173879</v>
      </c>
      <c r="L21" s="25" t="e">
        <f>SUM(J21:J22)/$B$6</f>
        <v>#DIV/0!</v>
      </c>
      <c r="M21" s="19"/>
    </row>
    <row r="22" spans="1:13" ht="15" thickBot="1" x14ac:dyDescent="0.35">
      <c r="A22" s="12" t="s">
        <v>25</v>
      </c>
      <c r="B22" s="13"/>
      <c r="C22" s="13"/>
      <c r="D22" s="63"/>
      <c r="E22" s="42">
        <v>1</v>
      </c>
      <c r="F22" s="12" t="s">
        <v>4</v>
      </c>
      <c r="G22" s="72"/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26</v>
      </c>
      <c r="B23" s="41"/>
      <c r="C23" s="41"/>
      <c r="D23" s="63"/>
      <c r="E23" s="42">
        <v>1</v>
      </c>
      <c r="F23" s="41" t="s">
        <v>22</v>
      </c>
      <c r="G23" s="73"/>
      <c r="H23" s="41"/>
      <c r="I23" s="41"/>
      <c r="J23" s="43">
        <f>D23*G23</f>
        <v>0</v>
      </c>
      <c r="K23" s="44">
        <f>K12</f>
        <v>4.6558825658193199E-2</v>
      </c>
      <c r="L23" s="44" t="e">
        <f>J23/B6</f>
        <v>#DIV/0!</v>
      </c>
    </row>
    <row r="24" spans="1:13" x14ac:dyDescent="0.3">
      <c r="A24" s="5" t="s">
        <v>8</v>
      </c>
      <c r="B24" s="6" t="s">
        <v>55</v>
      </c>
      <c r="C24" s="6" t="s">
        <v>56</v>
      </c>
      <c r="D24" s="55"/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0.36222860274006669</v>
      </c>
      <c r="L24" s="25" t="e">
        <f>SUM(J24:J30)/$B$6</f>
        <v>#DIV/0!</v>
      </c>
    </row>
    <row r="25" spans="1:13" x14ac:dyDescent="0.3">
      <c r="A25" s="6" t="s">
        <v>13</v>
      </c>
      <c r="B25" s="6"/>
      <c r="C25" s="6"/>
      <c r="D25" s="58"/>
      <c r="E25" s="24">
        <v>1</v>
      </c>
      <c r="F25" s="8" t="s">
        <v>5</v>
      </c>
      <c r="G25" s="8"/>
      <c r="H25" s="5"/>
      <c r="I25" s="5"/>
      <c r="J25" s="7">
        <f>D25</f>
        <v>0</v>
      </c>
      <c r="K25" s="5"/>
      <c r="L25" s="5"/>
    </row>
    <row r="26" spans="1:13" x14ac:dyDescent="0.3">
      <c r="A26" s="6" t="s">
        <v>14</v>
      </c>
      <c r="B26" s="6"/>
      <c r="C26" s="6"/>
      <c r="D26" s="58"/>
      <c r="E26" s="24">
        <v>1</v>
      </c>
      <c r="F26" s="8" t="s">
        <v>5</v>
      </c>
      <c r="G26" s="8"/>
      <c r="H26" s="5"/>
      <c r="I26" s="5"/>
      <c r="J26" s="7">
        <f>D26</f>
        <v>0</v>
      </c>
      <c r="K26" s="5"/>
      <c r="L26" s="5"/>
    </row>
    <row r="27" spans="1:13" x14ac:dyDescent="0.3">
      <c r="A27" s="40"/>
      <c r="B27" s="40"/>
      <c r="C27" s="40"/>
      <c r="D27" s="68"/>
      <c r="E27" s="70"/>
      <c r="F27" s="5"/>
      <c r="G27" s="5"/>
      <c r="H27" s="23"/>
      <c r="I27" s="23"/>
      <c r="J27" s="69"/>
      <c r="K27" s="23"/>
      <c r="L27" s="23"/>
    </row>
    <row r="28" spans="1:13" x14ac:dyDescent="0.3">
      <c r="A28" s="40" t="s">
        <v>52</v>
      </c>
      <c r="B28" s="40" t="s">
        <v>53</v>
      </c>
      <c r="C28" s="40" t="s">
        <v>54</v>
      </c>
      <c r="D28" s="68"/>
      <c r="E28" s="24"/>
      <c r="F28" s="8" t="s">
        <v>5</v>
      </c>
      <c r="G28" s="5"/>
      <c r="H28" s="23"/>
      <c r="I28" s="23"/>
      <c r="J28" s="69">
        <f>D28*H28</f>
        <v>0</v>
      </c>
      <c r="K28" s="23"/>
      <c r="L28" s="23"/>
    </row>
    <row r="29" spans="1:13" x14ac:dyDescent="0.3">
      <c r="A29" s="40" t="s">
        <v>36</v>
      </c>
      <c r="B29" s="40" t="s">
        <v>38</v>
      </c>
      <c r="C29" s="40" t="s">
        <v>39</v>
      </c>
      <c r="D29" s="68"/>
      <c r="E29" s="24">
        <v>1</v>
      </c>
      <c r="F29" s="8" t="s">
        <v>5</v>
      </c>
      <c r="G29" s="5"/>
      <c r="H29" s="23"/>
      <c r="I29" s="23"/>
      <c r="J29" s="7">
        <f>D29</f>
        <v>0</v>
      </c>
      <c r="K29" s="23"/>
      <c r="L29" s="23"/>
    </row>
    <row r="30" spans="1:13" ht="15" thickBot="1" x14ac:dyDescent="0.35">
      <c r="A30" s="13" t="s">
        <v>27</v>
      </c>
      <c r="B30" s="13"/>
      <c r="C30" s="13"/>
      <c r="D30" s="32"/>
      <c r="E30" s="26">
        <v>1</v>
      </c>
      <c r="F30" s="12" t="s">
        <v>5</v>
      </c>
      <c r="G30" s="12"/>
      <c r="H30" s="12"/>
      <c r="I30" s="12"/>
      <c r="J30" s="14">
        <f>D30</f>
        <v>0</v>
      </c>
      <c r="K30" s="12"/>
      <c r="L30" s="12"/>
    </row>
    <row r="31" spans="1:13" ht="15" thickBot="1" x14ac:dyDescent="0.35">
      <c r="A31" s="1"/>
      <c r="B31" s="1"/>
      <c r="C31" s="1"/>
      <c r="D31" s="38"/>
      <c r="E31" s="1"/>
      <c r="J31" s="35">
        <f>SUM(J21:J30)</f>
        <v>0</v>
      </c>
      <c r="K31" s="46">
        <f>SUM(K21:K30)</f>
        <v>0.99999999999999867</v>
      </c>
      <c r="L31" s="46" t="e">
        <f>SUM(L21:L30)</f>
        <v>#DIV/0!</v>
      </c>
    </row>
    <row r="32" spans="1:13" x14ac:dyDescent="0.3">
      <c r="A32" s="1"/>
      <c r="B32" s="38"/>
      <c r="C32" s="1"/>
      <c r="D32" s="1"/>
      <c r="E32" s="1"/>
    </row>
    <row r="33" spans="1:12" x14ac:dyDescent="0.3">
      <c r="A33" s="1"/>
      <c r="B33" s="1"/>
      <c r="C33" s="1"/>
      <c r="D33" s="1"/>
      <c r="E33" s="1"/>
    </row>
    <row r="34" spans="1:12" ht="15" thickBot="1" x14ac:dyDescent="0.35">
      <c r="A34" s="3" t="s">
        <v>16</v>
      </c>
    </row>
    <row r="35" spans="1:12" ht="29.4" thickBot="1" x14ac:dyDescent="0.35">
      <c r="A35" s="16"/>
      <c r="B35" s="17" t="s">
        <v>7</v>
      </c>
      <c r="C35" s="17" t="s">
        <v>0</v>
      </c>
      <c r="D35" s="11" t="s">
        <v>18</v>
      </c>
      <c r="E35" s="11" t="s">
        <v>9</v>
      </c>
      <c r="F35" s="11" t="s">
        <v>3</v>
      </c>
      <c r="G35" s="11"/>
      <c r="H35" s="11"/>
      <c r="I35" s="18"/>
      <c r="J35" s="15" t="s">
        <v>17</v>
      </c>
      <c r="K35" s="20" t="s">
        <v>11</v>
      </c>
      <c r="L35" s="20" t="s">
        <v>10</v>
      </c>
    </row>
    <row r="36" spans="1:12" x14ac:dyDescent="0.3">
      <c r="A36" s="23" t="s">
        <v>8</v>
      </c>
      <c r="B36" s="40" t="s">
        <v>55</v>
      </c>
      <c r="C36" s="40" t="s">
        <v>56</v>
      </c>
      <c r="D36" s="24"/>
      <c r="E36" s="24">
        <v>125000</v>
      </c>
      <c r="F36" s="5" t="s">
        <v>5</v>
      </c>
      <c r="G36" s="23"/>
      <c r="H36" s="33"/>
      <c r="I36" s="23"/>
      <c r="J36" s="7">
        <f>J21</f>
        <v>0</v>
      </c>
      <c r="K36" s="27">
        <f>SUM(K10:K11)</f>
        <v>0.59121257160173879</v>
      </c>
      <c r="L36" s="25" t="e">
        <f>SUM(J36:J37)/$B$6</f>
        <v>#DIV/0!</v>
      </c>
    </row>
    <row r="37" spans="1:12" ht="15" thickBot="1" x14ac:dyDescent="0.35">
      <c r="A37" s="12" t="s">
        <v>25</v>
      </c>
      <c r="B37" s="12"/>
      <c r="C37" s="12"/>
      <c r="D37" s="31"/>
      <c r="E37" s="26"/>
      <c r="F37" s="12" t="s">
        <v>4</v>
      </c>
      <c r="G37" s="12"/>
      <c r="H37" s="12"/>
      <c r="I37" s="12"/>
      <c r="J37" s="31">
        <f>J22</f>
        <v>0</v>
      </c>
      <c r="K37" s="28"/>
      <c r="L37" s="30"/>
    </row>
    <row r="38" spans="1:12" ht="15" thickBot="1" x14ac:dyDescent="0.35">
      <c r="A38" s="41" t="s">
        <v>26</v>
      </c>
      <c r="B38" s="41"/>
      <c r="C38" s="41"/>
      <c r="D38" s="45"/>
      <c r="E38" s="42"/>
      <c r="F38" s="41" t="s">
        <v>22</v>
      </c>
      <c r="G38" s="41"/>
      <c r="H38" s="41"/>
      <c r="I38" s="41"/>
      <c r="J38" s="45">
        <f>J23</f>
        <v>0</v>
      </c>
      <c r="K38" s="44">
        <f>K12</f>
        <v>4.6558825658193199E-2</v>
      </c>
      <c r="L38" s="44" t="e">
        <f>J38/$B$6</f>
        <v>#DIV/0!</v>
      </c>
    </row>
    <row r="39" spans="1:12" ht="15" thickBot="1" x14ac:dyDescent="0.35">
      <c r="A39" s="13" t="s">
        <v>28</v>
      </c>
      <c r="B39" s="13"/>
      <c r="C39" s="13"/>
      <c r="D39" s="47"/>
      <c r="E39" s="26"/>
      <c r="F39" s="12" t="s">
        <v>5</v>
      </c>
      <c r="G39" s="12"/>
      <c r="H39" s="12"/>
      <c r="I39" s="12"/>
      <c r="J39" s="31">
        <f>SUM(J24,J25,J26,J30)</f>
        <v>0</v>
      </c>
      <c r="K39" s="71">
        <f>K24</f>
        <v>0.36222860274006669</v>
      </c>
      <c r="L39" s="71" t="e">
        <f>L24</f>
        <v>#DIV/0!</v>
      </c>
    </row>
    <row r="40" spans="1:12" ht="15" thickBot="1" x14ac:dyDescent="0.35">
      <c r="A40" s="1"/>
      <c r="B40" s="1"/>
      <c r="C40" s="1"/>
      <c r="D40" s="1"/>
      <c r="E40" s="1"/>
      <c r="J40" s="35">
        <f>SUM(J36:J39)</f>
        <v>0</v>
      </c>
      <c r="K40" s="46">
        <f>SUM(K36:K39)</f>
        <v>0.99999999999999867</v>
      </c>
      <c r="L40" s="46" t="e">
        <f>SUM(L36:L39)</f>
        <v>#DIV/0!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2024-09-25T18:23:24Z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