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98424D38-22AF-43FE-A390-BF5AB20B0548}" xr6:coauthVersionLast="47" xr6:coauthVersionMax="47" xr10:uidLastSave="{0669D6A8-8218-4E16-AB11-B00C0A045716}"/>
  <bookViews>
    <workbookView xWindow="29955" yWindow="5310" windowWidth="22140" windowHeight="9750" xr2:uid="{C2889EAE-1B00-4717-B291-92943FB680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<sst xmlns="http://schemas.openxmlformats.org/spreadsheetml/2006/main" count="103" uniqueCount="56">
  <si>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</si>
  <si>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</si>
  <si>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</si>
  <si>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</si>
  <si>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</si>
  <si>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</si>
  <si>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</si>
  <si>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</si>
  <si>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</si>
  <si>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</si>
  <si>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</si>
  <si>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</si>
  <si>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</si>
  <si>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</si>
  <si>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</si>
  <si>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</si>
  <si>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</si>
  <si>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</si>
  <si>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</si>
  <si>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</si>
  <si>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</si>
  <si>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</si>
  <si>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</si>
  <si>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</si>
  <si>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</si>
  <si>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</si>
  <si>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</si>
  <si>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</si>
  <si>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</si>
  <si>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</si>
  <si>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</si>
  <si>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</si>
  <si>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</si>
  <si>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</si>
  <si>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</si>
  <si>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</si>
  <si>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</si>
  <si>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</si>
  <si>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</si>
  <si>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</si>
  <si>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</si>
  <si>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</si>
  <si>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</si>
  <si>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</si>
  <si>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</si>
  <si>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</si>
  <si>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</si>
  <si>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</si>
  <si>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</si>
  <si>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</si>
  <si>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</si>
  <si>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</si>
  <si>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</si>
  <si>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</si>
  <si>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ECZ5 Curncy</t>
  </si>
  <si>
    <t>EURO FX CURR FUT  Dec25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</si>
</sst>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3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3" ht="23.1" customHeight="1" x14ac:dyDescent="0.3">
      <c r="A2" t="s">
        <v>34</v>
      </c>
      <c r="J2" s="43"/>
      <c r="K2" s="44"/>
      <c r="L2" s="45"/>
    </row>
    <row r="3" spans="1:13" x14ac:dyDescent="0.3">
      <c r="A3" t="s">
        <v>15</v>
      </c>
      <c r="B3" s="56">
        <v>45952</v>
      </c>
    </row>
    <row r="4" spans="1:13" x14ac:dyDescent="0.3">
      <c r="A4" t="s">
        <v>20</v>
      </c>
      <c r="B4">
        <v>0</v>
      </c>
    </row>
    <row r="5" spans="1:13" x14ac:dyDescent="0.3">
      <c r="A5" t="s">
        <v>21</v>
      </c>
      <c r="B5" s="74">
        <v>0</v>
      </c>
    </row>
    <row r="6" spans="1:13" x14ac:dyDescent="0.3">
      <c r="A6" s="2" t="s">
        <v>19</v>
      </c>
      <c r="B6" s="37">
        <v>9789380.9100000001</v>
      </c>
      <c r="J6" t="s">
        <v>25</v>
      </c>
    </row>
    <row r="7" spans="1:13" x14ac:dyDescent="0.3">
      <c r="J7" s="57">
        <f>(D28+D29)/B6</f>
        <v>0.97946972624237172</v>
      </c>
      <c r="K7" s="18"/>
    </row>
    <row r="8" spans="1:13" ht="15" thickBot="1" x14ac:dyDescent="0.35">
      <c r="A8" s="2" t="s">
        <v>26</v>
      </c>
    </row>
    <row r="9" spans="1:13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3" x14ac:dyDescent="0.3">
      <c r="A10" s="4" t="s">
        <v>27</v>
      </c>
      <c r="B10" s="5" t="s">
        <v>28</v>
      </c>
      <c r="C10" s="8" t="s">
        <v>29</v>
      </c>
      <c r="D10" s="48">
        <v>58</v>
      </c>
      <c r="E10" s="46">
        <v>1000</v>
      </c>
      <c r="F10" s="4" t="s">
        <v>4</v>
      </c>
      <c r="G10" s="62">
        <v>1.1611434941130025</v>
      </c>
      <c r="H10" s="49">
        <v>78.459999999999994</v>
      </c>
      <c r="I10" s="4"/>
      <c r="J10" s="9">
        <f>D10*E10*G10*H10</f>
        <v>5283992.4757901579</v>
      </c>
      <c r="K10" s="54">
        <v>0.54348826059524602</v>
      </c>
      <c r="L10" s="20">
        <f t="shared" ref="L10:L15" si="0">J10/$B$6</f>
        <v>0.53976778760263378</v>
      </c>
    </row>
    <row r="11" spans="1:13" x14ac:dyDescent="0.3">
      <c r="A11" s="4" t="s">
        <v>35</v>
      </c>
      <c r="B11" s="5" t="s">
        <v>36</v>
      </c>
      <c r="C11" s="8" t="s">
        <v>37</v>
      </c>
      <c r="D11" s="48">
        <v>5</v>
      </c>
      <c r="E11" s="46">
        <v>1000</v>
      </c>
      <c r="F11" s="4" t="s">
        <v>4</v>
      </c>
      <c r="G11" s="62">
        <v>1.1611434941130025</v>
      </c>
      <c r="H11" s="49">
        <v>80.48</v>
      </c>
      <c r="I11" s="4"/>
      <c r="J11" s="9">
        <f t="shared" ref="J11:J12" si="1">D11*E11*G11*H11</f>
        <v>467244.14203107229</v>
      </c>
      <c r="K11" s="54">
        <v>4.9403062980578498E-2</v>
      </c>
      <c r="L11" s="20">
        <f t="shared" si="0"/>
        <v>4.772969264621988E-2</v>
      </c>
    </row>
    <row r="12" spans="1:13" x14ac:dyDescent="0.3">
      <c r="A12" s="4" t="s">
        <v>38</v>
      </c>
      <c r="B12" s="5" t="s">
        <v>39</v>
      </c>
      <c r="C12" s="8" t="s">
        <v>40</v>
      </c>
      <c r="D12" s="48">
        <v>6</v>
      </c>
      <c r="E12" s="46">
        <v>1000</v>
      </c>
      <c r="F12" s="4" t="s">
        <v>22</v>
      </c>
      <c r="G12" s="62">
        <v>1.3355414284951119</v>
      </c>
      <c r="H12" s="49">
        <v>55.54</v>
      </c>
      <c r="I12" s="4"/>
      <c r="J12" s="9">
        <f t="shared" si="1"/>
        <v>445055.82563171111</v>
      </c>
      <c r="K12" s="54">
        <v>4.6516505245242597E-2</v>
      </c>
      <c r="L12" s="20">
        <f t="shared" si="0"/>
        <v>4.5463122716685782E-2</v>
      </c>
    </row>
    <row r="13" spans="1:13" x14ac:dyDescent="0.3">
      <c r="A13" s="4" t="s">
        <v>30</v>
      </c>
      <c r="B13" s="5" t="s">
        <v>31</v>
      </c>
      <c r="C13" s="8" t="s">
        <v>32</v>
      </c>
      <c r="D13" s="48">
        <v>60</v>
      </c>
      <c r="E13" s="46">
        <v>1000</v>
      </c>
      <c r="F13" s="4" t="s">
        <v>5</v>
      </c>
      <c r="G13" s="47"/>
      <c r="H13" s="49">
        <v>32.22</v>
      </c>
      <c r="I13" s="4"/>
      <c r="J13" s="9">
        <f>D13*E13*H13</f>
        <v>1933200</v>
      </c>
      <c r="K13" s="54">
        <v>0.20800138473757501</v>
      </c>
      <c r="L13" s="20">
        <f t="shared" si="0"/>
        <v>0.19747929085333751</v>
      </c>
    </row>
    <row r="14" spans="1:13" x14ac:dyDescent="0.3">
      <c r="A14" s="4" t="s">
        <v>41</v>
      </c>
      <c r="B14" s="5" t="s">
        <v>42</v>
      </c>
      <c r="C14" s="8" t="s">
        <v>43</v>
      </c>
      <c r="D14" s="48">
        <v>15</v>
      </c>
      <c r="E14" s="46">
        <v>1000</v>
      </c>
      <c r="F14" s="4" t="s">
        <v>5</v>
      </c>
      <c r="G14" s="47"/>
      <c r="H14" s="49">
        <v>33.92</v>
      </c>
      <c r="I14" s="4"/>
      <c r="J14" s="9">
        <f>D14*E14*H14</f>
        <v>508800</v>
      </c>
      <c r="K14" s="54">
        <v>5.1323696061604002E-2</v>
      </c>
      <c r="L14" s="20">
        <f t="shared" ref="L14" si="2">J14/$B$6</f>
        <v>5.1974686109134145E-2</v>
      </c>
      <c r="M14" s="18"/>
    </row>
    <row r="15" spans="1:13" x14ac:dyDescent="0.3">
      <c r="A15" s="4" t="s">
        <v>44</v>
      </c>
      <c r="B15" s="5" t="s">
        <v>45</v>
      </c>
      <c r="C15" s="8" t="s">
        <v>46</v>
      </c>
      <c r="D15" s="48">
        <v>21</v>
      </c>
      <c r="E15" s="46">
        <v>1000</v>
      </c>
      <c r="F15" s="4" t="s">
        <v>5</v>
      </c>
      <c r="G15" s="4"/>
      <c r="H15" s="49">
        <v>24.59</v>
      </c>
      <c r="I15" s="4"/>
      <c r="J15" s="9">
        <f>D15*E15*H15</f>
        <v>516390</v>
      </c>
      <c r="K15" s="54">
        <v>5.33251937117383E-2</v>
      </c>
      <c r="L15" s="20">
        <f t="shared" si="0"/>
        <v>5.2750016037531017E-2</v>
      </c>
    </row>
    <row r="16" spans="1:13" ht="15" thickBot="1" x14ac:dyDescent="0.35">
      <c r="A16" s="11" t="s">
        <v>47</v>
      </c>
      <c r="B16" s="12" t="s">
        <v>48</v>
      </c>
      <c r="C16" s="12" t="s">
        <v>49</v>
      </c>
      <c r="D16" s="50">
        <v>7</v>
      </c>
      <c r="E16" s="51">
        <v>1000</v>
      </c>
      <c r="F16" s="11" t="s">
        <v>5</v>
      </c>
      <c r="G16" s="11"/>
      <c r="H16" s="52">
        <v>65.25</v>
      </c>
      <c r="I16" s="11"/>
      <c r="J16" s="13">
        <f>D16*E16*H16</f>
        <v>456750</v>
      </c>
      <c r="K16" s="55">
        <v>4.79418966680141E-2</v>
      </c>
      <c r="L16" s="20">
        <f>J16/$B$6</f>
        <v>4.6657700236531097E-2</v>
      </c>
    </row>
    <row r="17" spans="1:13" ht="15" thickBot="1" x14ac:dyDescent="0.35">
      <c r="J17" s="33">
        <f>SUM(J10:J16)</f>
        <v>9611432.4434529413</v>
      </c>
      <c r="K17" s="34">
        <f>SUM(K10:K16)</f>
        <v>0.99999999999999856</v>
      </c>
      <c r="L17" s="35">
        <f>SUM(L10:L16)</f>
        <v>0.98182229620207306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30</v>
      </c>
      <c r="E22" s="46">
        <v>125000</v>
      </c>
      <c r="F22" s="4" t="s">
        <v>5</v>
      </c>
      <c r="G22" s="22"/>
      <c r="H22" s="53">
        <v>1.16445</v>
      </c>
      <c r="I22" s="22"/>
      <c r="J22" s="6">
        <f>D22*E22*H22</f>
        <v>4366687.5</v>
      </c>
      <c r="K22" s="26">
        <f>SUM(K10:K11)</f>
        <v>0.59289132357582452</v>
      </c>
      <c r="L22" s="24">
        <f>SUM(J22:J24)/$B$6</f>
        <v>0.57691446573290961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1.1611434941130025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1103178</v>
      </c>
      <c r="E24" s="25">
        <v>1</v>
      </c>
      <c r="F24" s="11" t="s">
        <v>4</v>
      </c>
      <c r="G24" s="61">
        <v>1.1611434941130025</v>
      </c>
      <c r="H24" s="11"/>
      <c r="I24" s="11"/>
      <c r="J24" s="13">
        <f>D24*G24</f>
        <v>1280947.9575485939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1.3355414284951119</v>
      </c>
      <c r="H25" s="7"/>
      <c r="I25" s="7"/>
      <c r="J25" s="9">
        <f>D25*G25</f>
        <v>0</v>
      </c>
      <c r="K25" s="69">
        <f>K12</f>
        <v>4.6516505245242597E-2</v>
      </c>
      <c r="L25" s="69">
        <f>(SUM(J25:J26))/B6</f>
        <v>4.6498198674108343E-2</v>
      </c>
    </row>
    <row r="26" spans="1:13" ht="15" thickBot="1" x14ac:dyDescent="0.35">
      <c r="A26" s="64" t="s">
        <v>53</v>
      </c>
      <c r="B26" s="11"/>
      <c r="C26" s="11"/>
      <c r="D26" s="52">
        <v>340827</v>
      </c>
      <c r="E26" s="25">
        <v>1</v>
      </c>
      <c r="F26" s="11" t="s">
        <v>22</v>
      </c>
      <c r="G26" s="61">
        <v>1.3355414284951119</v>
      </c>
      <c r="H26" s="11"/>
      <c r="I26" s="11"/>
      <c r="J26" s="13">
        <f>D26*G26</f>
        <v>455188.57844970352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-30</v>
      </c>
      <c r="E27" s="23">
        <v>-125000</v>
      </c>
      <c r="F27" s="7" t="s">
        <v>5</v>
      </c>
      <c r="G27" s="7"/>
      <c r="H27" s="7"/>
      <c r="I27" s="7"/>
      <c r="J27" s="9">
        <f>-J22</f>
        <v>-4366687.5</v>
      </c>
      <c r="K27" s="65">
        <f>SUM(K13:K16)</f>
        <v>0.36059217117893139</v>
      </c>
      <c r="L27" s="20">
        <f>SUM(J27:J31)/$B$6</f>
        <v>0.37688368630470442</v>
      </c>
    </row>
    <row r="28" spans="1:13" x14ac:dyDescent="0.3">
      <c r="A28" s="5" t="s">
        <v>13</v>
      </c>
      <c r="B28" s="5"/>
      <c r="C28" s="5"/>
      <c r="D28" s="49">
        <v>1204882.0900000001</v>
      </c>
      <c r="E28" s="23">
        <v>1</v>
      </c>
      <c r="F28" s="7" t="s">
        <v>5</v>
      </c>
      <c r="G28" s="7"/>
      <c r="H28" s="4"/>
      <c r="I28" s="4"/>
      <c r="J28" s="6">
        <f>D28</f>
        <v>1204882.0900000001</v>
      </c>
      <c r="K28" s="4"/>
      <c r="L28" s="4"/>
    </row>
    <row r="29" spans="1:13" x14ac:dyDescent="0.3">
      <c r="A29" s="5" t="s">
        <v>14</v>
      </c>
      <c r="B29" s="5"/>
      <c r="C29" s="5"/>
      <c r="D29" s="49">
        <v>8383520.1500000004</v>
      </c>
      <c r="E29" s="23">
        <v>1</v>
      </c>
      <c r="F29" s="7" t="s">
        <v>5</v>
      </c>
      <c r="G29" s="7"/>
      <c r="H29" s="4"/>
      <c r="I29" s="4"/>
      <c r="J29" s="6">
        <f>D29-J26-J24</f>
        <v>6647383.6140017025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203879.76</v>
      </c>
      <c r="E31" s="25">
        <v>1</v>
      </c>
      <c r="F31" s="11" t="s">
        <v>5</v>
      </c>
      <c r="G31" s="11"/>
      <c r="H31" s="11"/>
      <c r="I31" s="11"/>
      <c r="J31" s="13">
        <f>D31</f>
        <v>203879.76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9792282</v>
      </c>
      <c r="K32" s="42">
        <f>SUM(K22:K31)</f>
        <v>0.99999999999999856</v>
      </c>
      <c r="L32" s="42">
        <f>SUM(L22:L31)</f>
        <v>1.0002963507117224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30</v>
      </c>
      <c r="E37" s="23">
        <v>125000</v>
      </c>
      <c r="F37" s="4" t="s">
        <v>5</v>
      </c>
      <c r="G37" s="22"/>
      <c r="H37" s="31">
        <v>1.16445</v>
      </c>
      <c r="I37" s="22"/>
      <c r="J37" s="6">
        <f>J22</f>
        <v>4366687.5</v>
      </c>
      <c r="K37" s="26">
        <f>SUM(K10:K11)</f>
        <v>0.59289132357582452</v>
      </c>
      <c r="L37" s="24">
        <f>SUM(J37:J39)/$B$6</f>
        <v>0.57691446573290961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1103178</v>
      </c>
      <c r="E39" s="25"/>
      <c r="F39" s="11" t="s">
        <v>4</v>
      </c>
      <c r="G39" s="11"/>
      <c r="H39" s="11"/>
      <c r="I39" s="11"/>
      <c r="J39" s="29">
        <f>J24</f>
        <v>1280947.9575485939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4.6516505245242597E-2</v>
      </c>
      <c r="L40" s="69">
        <f>(SUM(J40:J41))/$B$6</f>
        <v>4.6498198674108343E-2</v>
      </c>
    </row>
    <row r="41" spans="1:12" ht="15" thickBot="1" x14ac:dyDescent="0.35">
      <c r="A41" s="11" t="s">
        <v>53</v>
      </c>
      <c r="B41" s="11"/>
      <c r="C41" s="11"/>
      <c r="D41" s="29">
        <v>340827</v>
      </c>
      <c r="E41" s="25"/>
      <c r="F41" s="11" t="s">
        <v>22</v>
      </c>
      <c r="G41" s="11"/>
      <c r="H41" s="11"/>
      <c r="I41" s="11"/>
      <c r="J41" s="29">
        <f>J26</f>
        <v>455188.57844970352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3689457.9640017021</v>
      </c>
      <c r="K42" s="71">
        <f>K27</f>
        <v>0.36059217117893139</v>
      </c>
      <c r="L42" s="71">
        <f>L27</f>
        <v>0.37688368630470442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9792282</v>
      </c>
      <c r="K43" s="42">
        <f>SUM(K37:K42)</f>
        <v>0.99999999999999856</v>
      </c>
      <c r="L43" s="42">
        <f>SUM(L37:L42)</f>
        <v>1.0002963507117224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3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2025-10-23T11:21:02Z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