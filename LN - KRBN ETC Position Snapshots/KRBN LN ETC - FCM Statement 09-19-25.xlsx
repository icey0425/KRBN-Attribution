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E5B569BF-76F8-4035-9F03-FA0FD294319F}" xr6:coauthVersionLast="47" xr6:coauthVersionMax="47" xr10:uidLastSave="{78C297E8-F1AD-4C7E-B8E7-63A540CCF701}"/>
  <bookViews>
    <workbookView xWindow="30615" yWindow="6705" windowWidth="22095" windowHeight="1002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<sst xmlns="http://schemas.openxmlformats.org/spreadsheetml/2006/main" count="103" uniqueCount="56">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</sst>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45919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9654817.7400000002</v>
      </c>
      <c r="J6" t="s">
        <v>25</v>
      </c>
    </row>
    <row r="7" spans="1:13" x14ac:dyDescent="0.3">
      <c r="J7" s="57">
        <f>(D28+D29)/B6</f>
        <v>0.97835900525243891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1.1758066033298842</v>
      </c>
      <c r="H10" s="49">
        <v>77.55</v>
      </c>
      <c r="I10" s="4"/>
      <c r="J10" s="9">
        <f>D10*E10*G10*H10</f>
        <v>5288660.5211174861</v>
      </c>
      <c r="K10" s="54">
        <v>0.551614889687423</v>
      </c>
      <c r="L10" s="20">
        <f t="shared" ref="L10:L15" si="0">J10/$B$6</f>
        <v>0.54777424737978386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1.1758066033298842</v>
      </c>
      <c r="H11" s="49">
        <v>79.59</v>
      </c>
      <c r="I11" s="4"/>
      <c r="J11" s="9">
        <f t="shared" ref="J11:J12" si="1">D11*E11*G11*H11</f>
        <v>467912.23779512738</v>
      </c>
      <c r="K11" s="54">
        <v>5.0169148198686203E-2</v>
      </c>
      <c r="L11" s="20">
        <f t="shared" si="0"/>
        <v>4.8464119198911713E-2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1.3483085469278788</v>
      </c>
      <c r="H12" s="49">
        <v>57.6</v>
      </c>
      <c r="I12" s="4"/>
      <c r="J12" s="9">
        <f t="shared" si="1"/>
        <v>465975.43381827493</v>
      </c>
      <c r="K12" s="54">
        <v>4.9387524142978499E-2</v>
      </c>
      <c r="L12" s="20">
        <f t="shared" si="0"/>
        <v>4.8263514275130683E-2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31.39</v>
      </c>
      <c r="I13" s="4"/>
      <c r="J13" s="9">
        <f>D13*E13*H13</f>
        <v>1883400</v>
      </c>
      <c r="K13" s="54">
        <v>0.20549402132119199</v>
      </c>
      <c r="L13" s="20">
        <f t="shared" si="0"/>
        <v>0.19507359441877978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33.14</v>
      </c>
      <c r="I14" s="4"/>
      <c r="J14" s="9">
        <f>D14*E14*H14</f>
        <v>497100</v>
      </c>
      <c r="K14" s="54">
        <v>5.0848924312678997E-2</v>
      </c>
      <c r="L14" s="20">
        <f t="shared" ref="L14" si="2">J14/$B$6</f>
        <v>5.1487248479120437E-2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21.05</v>
      </c>
      <c r="I15" s="4"/>
      <c r="J15" s="9">
        <f>D15*E15*H15</f>
        <v>442050</v>
      </c>
      <c r="K15" s="54">
        <v>4.6290641393118503E-2</v>
      </c>
      <c r="L15" s="20">
        <f t="shared" si="0"/>
        <v>4.5785431885325266E-2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</v>
      </c>
      <c r="I16" s="11"/>
      <c r="J16" s="13">
        <f>D16*E16*H16</f>
        <v>434000</v>
      </c>
      <c r="K16" s="55">
        <v>4.6194850943921402E-2</v>
      </c>
      <c r="L16" s="20">
        <f>J16/$B$6</f>
        <v>4.4951651257168115E-2</v>
      </c>
    </row>
    <row r="17" spans="1:13" ht="15" thickBot="1" x14ac:dyDescent="0.35">
      <c r="J17" s="33">
        <f>SUM(J10:J16)</f>
        <v>9479098.1927308887</v>
      </c>
      <c r="K17" s="34">
        <f>SUM(K10:K16)</f>
        <v>0.99999999999999867</v>
      </c>
      <c r="L17" s="35">
        <f>SUM(L10:L16)</f>
        <v>0.98179980689421986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1.1806000000000001</v>
      </c>
      <c r="I22" s="22"/>
      <c r="J22" s="6">
        <f>D22*E22*H22</f>
        <v>4427250</v>
      </c>
      <c r="K22" s="26">
        <f>SUM(K10:K11)</f>
        <v>0.60178403788610924</v>
      </c>
      <c r="L22" s="24">
        <f>SUM(J22:J24)/$B$6</f>
        <v>0.58593364654646352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1.1758066033298842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1045948</v>
      </c>
      <c r="E24" s="25">
        <v>1</v>
      </c>
      <c r="F24" s="11" t="s">
        <v>4</v>
      </c>
      <c r="G24" s="61">
        <v>1.1758066033298842</v>
      </c>
      <c r="H24" s="11"/>
      <c r="I24" s="11"/>
      <c r="J24" s="13">
        <f>D24*G24</f>
        <v>1229832.5651396858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1.3483085469278788</v>
      </c>
      <c r="H25" s="7"/>
      <c r="I25" s="7"/>
      <c r="J25" s="9">
        <f>D25*G25</f>
        <v>0</v>
      </c>
      <c r="K25" s="69">
        <f>K12</f>
        <v>4.9387524142978499E-2</v>
      </c>
      <c r="L25" s="69">
        <f>(SUM(J25:J26))/B6</f>
        <v>4.932304923695191E-2</v>
      </c>
    </row>
    <row r="26" spans="1:13" ht="15" thickBot="1" x14ac:dyDescent="0.35">
      <c r="A26" s="64" t="s">
        <v>53</v>
      </c>
      <c r="B26" s="11"/>
      <c r="C26" s="11"/>
      <c r="D26" s="52">
        <v>353187</v>
      </c>
      <c r="E26" s="25">
        <v>1</v>
      </c>
      <c r="F26" s="11" t="s">
        <v>22</v>
      </c>
      <c r="G26" s="61">
        <v>1.3483085469278788</v>
      </c>
      <c r="H26" s="11"/>
      <c r="I26" s="11"/>
      <c r="J26" s="13">
        <f>D26*G26</f>
        <v>476205.05076381675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-4427250</v>
      </c>
      <c r="K27" s="65">
        <f>SUM(K13:K16)</f>
        <v>0.3488284379709109</v>
      </c>
      <c r="L27" s="20">
        <f>SUM(J27:J31)/$B$6</f>
        <v>0.36478462762741887</v>
      </c>
    </row>
    <row r="28" spans="1:13" x14ac:dyDescent="0.3">
      <c r="A28" s="5" t="s">
        <v>13</v>
      </c>
      <c r="B28" s="5"/>
      <c r="C28" s="5"/>
      <c r="D28" s="49">
        <v>1222248.8899999999</v>
      </c>
      <c r="E28" s="23">
        <v>1</v>
      </c>
      <c r="F28" s="7" t="s">
        <v>5</v>
      </c>
      <c r="G28" s="7"/>
      <c r="H28" s="4"/>
      <c r="I28" s="4"/>
      <c r="J28" s="6">
        <f>D28</f>
        <v>1222248.8899999999</v>
      </c>
      <c r="K28" s="4"/>
      <c r="L28" s="4"/>
    </row>
    <row r="29" spans="1:13" x14ac:dyDescent="0.3">
      <c r="A29" s="5" t="s">
        <v>14</v>
      </c>
      <c r="B29" s="5"/>
      <c r="C29" s="5"/>
      <c r="D29" s="49">
        <v>8223628.9900000002</v>
      </c>
      <c r="E29" s="23">
        <v>1</v>
      </c>
      <c r="F29" s="7" t="s">
        <v>5</v>
      </c>
      <c r="G29" s="7"/>
      <c r="H29" s="4"/>
      <c r="I29" s="4"/>
      <c r="J29" s="6">
        <f>D29-J26-J24</f>
        <v>6517591.3740964979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209338.83</v>
      </c>
      <c r="E31" s="25">
        <v>1</v>
      </c>
      <c r="F31" s="11" t="s">
        <v>5</v>
      </c>
      <c r="G31" s="11"/>
      <c r="H31" s="11"/>
      <c r="I31" s="11"/>
      <c r="J31" s="13">
        <f>D31</f>
        <v>209338.83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9655216.709999999</v>
      </c>
      <c r="K32" s="42">
        <f>SUM(K22:K31)</f>
        <v>0.99999999999999867</v>
      </c>
      <c r="L32" s="42">
        <f>SUM(L22:L31)</f>
        <v>1.0000413234108343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1.1806000000000001</v>
      </c>
      <c r="I37" s="22"/>
      <c r="J37" s="6">
        <f>J22</f>
        <v>4427250</v>
      </c>
      <c r="K37" s="26">
        <f>SUM(K10:K11)</f>
        <v>0.60178403788610924</v>
      </c>
      <c r="L37" s="24">
        <f>SUM(J37:J39)/$B$6</f>
        <v>0.58593364654646352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1045948</v>
      </c>
      <c r="E39" s="25"/>
      <c r="F39" s="11" t="s">
        <v>4</v>
      </c>
      <c r="G39" s="11"/>
      <c r="H39" s="11"/>
      <c r="I39" s="11"/>
      <c r="J39" s="29">
        <f>J24</f>
        <v>1229832.5651396858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4.9387524142978499E-2</v>
      </c>
      <c r="L40" s="69">
        <f>(SUM(J40:J41))/$B$6</f>
        <v>4.932304923695191E-2</v>
      </c>
    </row>
    <row r="41" spans="1:12" ht="15" thickBot="1" x14ac:dyDescent="0.35">
      <c r="A41" s="11" t="s">
        <v>53</v>
      </c>
      <c r="B41" s="11"/>
      <c r="C41" s="11"/>
      <c r="D41" s="29">
        <v>353187</v>
      </c>
      <c r="E41" s="25"/>
      <c r="F41" s="11" t="s">
        <v>22</v>
      </c>
      <c r="G41" s="11"/>
      <c r="H41" s="11"/>
      <c r="I41" s="11"/>
      <c r="J41" s="29">
        <f>J26</f>
        <v>476205.05076381675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3521929.0940964976</v>
      </c>
      <c r="K42" s="71">
        <f>K27</f>
        <v>0.3488284379709109</v>
      </c>
      <c r="L42" s="71">
        <f>L27</f>
        <v>0.36478462762741887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9655216.7100000009</v>
      </c>
      <c r="K43" s="42">
        <f>SUM(K37:K42)</f>
        <v>0.99999999999999867</v>
      </c>
      <c r="L43" s="42">
        <f>SUM(L37:L42)</f>
        <v>1.0000413234108343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2025-09-22T12:24:15Z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