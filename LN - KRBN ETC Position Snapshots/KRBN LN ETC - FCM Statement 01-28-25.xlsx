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A88F608-6E1B-4E16-BD95-D5A1B67B5196}" xr6:coauthVersionLast="47" xr6:coauthVersionMax="47" xr10:uidLastSave="{37C783F6-C69D-40B6-A5BA-E38663063B14}"/>
  <bookViews>
    <workbookView xWindow="30090" yWindow="3960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<sst xmlns="http://schemas.openxmlformats.org/spreadsheetml/2006/main" count="103" uniqueCount="56">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</sst>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12260104.15</v>
      </c>
      <c r="J6" t="s">
        <v>25</v>
      </c>
    </row>
    <row r="7" spans="1:12" x14ac:dyDescent="0.3">
      <c r="J7" s="58">
        <f>(D28+D29)/B6</f>
        <v>0.95092561428199618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1.0424485030439496</v>
      </c>
      <c r="H10" s="50">
        <v>80.260000000000005</v>
      </c>
      <c r="I10" s="5"/>
      <c r="J10" s="10">
        <f>D10*E10*G10*H10</f>
        <v>7195354.8494704366</v>
      </c>
      <c r="K10" s="55">
        <v>0.60010795501852598</v>
      </c>
      <c r="L10" s="21">
        <f t="shared" ref="L10:L15" si="0">J10/$B$6</f>
        <v>0.58689182093697279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1.0424485030439496</v>
      </c>
      <c r="H11" s="50">
        <v>82.66</v>
      </c>
      <c r="I11" s="5"/>
      <c r="J11" s="10">
        <f t="shared" ref="J11:J12" si="1">D11*E11*G11*H11</f>
        <v>689350.34609290294</v>
      </c>
      <c r="K11" s="55">
        <v>5.4583726315128103E-2</v>
      </c>
      <c r="L11" s="21">
        <f t="shared" si="0"/>
        <v>5.6227119905249985E-2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1.2433017120264576</v>
      </c>
      <c r="H12" s="50">
        <v>40.020000000000003</v>
      </c>
      <c r="I12" s="5"/>
      <c r="J12" s="10">
        <f t="shared" si="1"/>
        <v>597083.21418358607</v>
      </c>
      <c r="K12" s="55">
        <v>4.9258835754525998E-2</v>
      </c>
      <c r="L12" s="21">
        <f t="shared" si="0"/>
        <v>4.8701316634702979E-2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30.95</v>
      </c>
      <c r="I13" s="5"/>
      <c r="J13" s="10">
        <f>D13*E13*H13</f>
        <v>1949850</v>
      </c>
      <c r="K13" s="55">
        <v>0.16556556020925101</v>
      </c>
      <c r="L13" s="21">
        <f t="shared" si="0"/>
        <v>0.1590402476311753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32.97</v>
      </c>
      <c r="I14" s="5"/>
      <c r="J14" s="10">
        <f>D14*E14*H14</f>
        <v>527520</v>
      </c>
      <c r="K14" s="55">
        <v>4.1627332914490403E-2</v>
      </c>
      <c r="L14" s="21">
        <f t="shared" ref="L14" si="2">J14/$B$6</f>
        <v>4.3027366941250658E-2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21.94</v>
      </c>
      <c r="I15" s="5"/>
      <c r="J15" s="10">
        <f>D15*E15*H15</f>
        <v>526560</v>
      </c>
      <c r="K15" s="55">
        <v>4.4922203671645199E-2</v>
      </c>
      <c r="L15" s="21">
        <f t="shared" si="0"/>
        <v>4.2949064180666033E-2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54.3</v>
      </c>
      <c r="I16" s="12"/>
      <c r="J16" s="14">
        <f>D16*E16*H16</f>
        <v>543000</v>
      </c>
      <c r="K16" s="56">
        <v>4.3934386116431599E-2</v>
      </c>
      <c r="L16" s="21">
        <f>J16/$B$6</f>
        <v>4.4289998955677715E-2</v>
      </c>
    </row>
    <row r="17" spans="1:13" ht="15" thickBot="1" x14ac:dyDescent="0.35">
      <c r="J17" s="34">
        <f>SUM(J10:J16)</f>
        <v>12028718.409746926</v>
      </c>
      <c r="K17" s="35">
        <f>SUM(K10:K16)</f>
        <v>0.99999999999999833</v>
      </c>
      <c r="L17" s="36">
        <f>SUM(L10:L16)</f>
        <v>0.98112693518569549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1.0458499999999999</v>
      </c>
      <c r="I22" s="23"/>
      <c r="J22" s="7">
        <f>D22*E22*H22</f>
        <v>6536562.5</v>
      </c>
      <c r="K22" s="27">
        <f>SUM(K10:K11)</f>
        <v>0.65469168133365407</v>
      </c>
      <c r="L22" s="25">
        <f>SUM(J22:J24)/$B$6</f>
        <v>0.65863357819223689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1.0424485030439496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1475712</v>
      </c>
      <c r="E24" s="26">
        <v>1</v>
      </c>
      <c r="F24" s="12" t="s">
        <v>4</v>
      </c>
      <c r="G24" s="62">
        <v>1.0424485030439496</v>
      </c>
      <c r="H24" s="12"/>
      <c r="I24" s="12"/>
      <c r="J24" s="14">
        <f>D24*G24</f>
        <v>1538353.7653239931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1.2433017120264576</v>
      </c>
      <c r="H25" s="8"/>
      <c r="I25" s="8"/>
      <c r="J25" s="10">
        <f>D25*G25</f>
        <v>0</v>
      </c>
      <c r="K25" s="70">
        <f>K12</f>
        <v>4.9258835754525998E-2</v>
      </c>
      <c r="L25" s="70">
        <f>(SUM(J25:J26))/B6</f>
        <v>4.1706840516660466E-2</v>
      </c>
    </row>
    <row r="26" spans="1:13" ht="15" thickBot="1" x14ac:dyDescent="0.35">
      <c r="A26" s="65" t="s">
        <v>55</v>
      </c>
      <c r="B26" s="12"/>
      <c r="C26" s="12"/>
      <c r="D26" s="53">
        <v>411268</v>
      </c>
      <c r="E26" s="26">
        <v>1</v>
      </c>
      <c r="F26" s="12" t="s">
        <v>22</v>
      </c>
      <c r="G26" s="62">
        <v>1.2433017120264576</v>
      </c>
      <c r="H26" s="12"/>
      <c r="I26" s="12"/>
      <c r="J26" s="14">
        <f>D26*G26</f>
        <v>511330.20850169717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-6536562.5</v>
      </c>
      <c r="K27" s="66">
        <f>SUM(K13:K16)</f>
        <v>0.29604948291181815</v>
      </c>
      <c r="L27" s="21">
        <f>SUM(J27:J31)/$B$6</f>
        <v>0.30028079134827829</v>
      </c>
    </row>
    <row r="28" spans="1:13" x14ac:dyDescent="0.3">
      <c r="A28" s="6" t="s">
        <v>13</v>
      </c>
      <c r="B28" s="6"/>
      <c r="C28" s="6"/>
      <c r="D28" s="50">
        <v>1932643.93</v>
      </c>
      <c r="E28" s="24">
        <v>1</v>
      </c>
      <c r="F28" s="8" t="s">
        <v>5</v>
      </c>
      <c r="G28" s="8"/>
      <c r="H28" s="5"/>
      <c r="I28" s="5"/>
      <c r="J28" s="7">
        <f>D28</f>
        <v>1932643.93</v>
      </c>
      <c r="K28" s="5"/>
      <c r="L28" s="5"/>
    </row>
    <row r="29" spans="1:13" x14ac:dyDescent="0.3">
      <c r="A29" s="6" t="s">
        <v>14</v>
      </c>
      <c r="B29" s="6"/>
      <c r="C29" s="6"/>
      <c r="D29" s="50">
        <v>9725803.1400000006</v>
      </c>
      <c r="E29" s="24">
        <v>1</v>
      </c>
      <c r="F29" s="8" t="s">
        <v>5</v>
      </c>
      <c r="G29" s="8"/>
      <c r="H29" s="5"/>
      <c r="I29" s="5"/>
      <c r="J29" s="7">
        <f>D29-J26-J24</f>
        <v>7676119.1661743112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12267720.25</v>
      </c>
      <c r="K32" s="43">
        <f>SUM(K22:K31)</f>
        <v>0.99999999999999822</v>
      </c>
      <c r="L32" s="43">
        <f>SUM(L22:L31)</f>
        <v>1.0006212100571756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1.0458499999999999</v>
      </c>
      <c r="I37" s="23"/>
      <c r="J37" s="7">
        <f>J22</f>
        <v>6536562.5</v>
      </c>
      <c r="K37" s="27">
        <f>SUM(K10:K11)</f>
        <v>0.65469168133365407</v>
      </c>
      <c r="L37" s="25">
        <f>SUM(J37:J39)/$B$6</f>
        <v>0.65863357819223689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1475712</v>
      </c>
      <c r="E39" s="26"/>
      <c r="F39" s="12" t="s">
        <v>4</v>
      </c>
      <c r="G39" s="12"/>
      <c r="H39" s="12"/>
      <c r="I39" s="12"/>
      <c r="J39" s="30">
        <f>J24</f>
        <v>1538353.7653239931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4.9258835754525998E-2</v>
      </c>
      <c r="L40" s="70">
        <f>(SUM(J40:J41))/$B$6</f>
        <v>4.1706840516660466E-2</v>
      </c>
    </row>
    <row r="41" spans="1:12" ht="15" thickBot="1" x14ac:dyDescent="0.35">
      <c r="A41" s="12" t="s">
        <v>55</v>
      </c>
      <c r="B41" s="12"/>
      <c r="C41" s="12"/>
      <c r="D41" s="30">
        <v>411268</v>
      </c>
      <c r="E41" s="26"/>
      <c r="F41" s="12" t="s">
        <v>22</v>
      </c>
      <c r="G41" s="12"/>
      <c r="H41" s="12"/>
      <c r="I41" s="12"/>
      <c r="J41" s="30">
        <f>J26</f>
        <v>511330.20850169717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3681473.7761743111</v>
      </c>
      <c r="K42" s="72">
        <f>K27</f>
        <v>0.29604948291181815</v>
      </c>
      <c r="L42" s="72">
        <f>L27</f>
        <v>0.30028079134827829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12267720.25</v>
      </c>
      <c r="K43" s="43">
        <f>SUM(K37:K42)</f>
        <v>0.99999999999999822</v>
      </c>
      <c r="L43" s="43">
        <f>SUM(L37:L42)</f>
        <v>1.0006212100571756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2025-01-29T13:38:13Z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