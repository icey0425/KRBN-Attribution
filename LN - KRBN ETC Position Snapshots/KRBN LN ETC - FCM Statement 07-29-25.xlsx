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A333616-2532-4432-B2D0-02243B450751}" xr6:coauthVersionLast="47" xr6:coauthVersionMax="47" xr10:uidLastSave="{2AB272F3-C080-477F-800B-131DD266F9EE}"/>
  <bookViews>
    <workbookView xWindow="31185" yWindow="7050" windowWidth="2209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<sst xmlns="http://schemas.openxmlformats.org/spreadsheetml/2006/main" count="103" uniqueCount="56">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</sst>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45867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8981958.7400000002</v>
      </c>
      <c r="J6" t="s">
        <v>25</v>
      </c>
    </row>
    <row r="7" spans="1:13" x14ac:dyDescent="0.3">
      <c r="J7" s="57">
        <f>(D28+D29)/B6</f>
        <v>0.97808320036883167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1.1522463041699793</v>
      </c>
      <c r="H10" s="49">
        <v>73.08</v>
      </c>
      <c r="I10" s="4"/>
      <c r="J10" s="9">
        <f>D10*E10*G10*H10</f>
        <v>4883957.2747070417</v>
      </c>
      <c r="K10" s="54">
        <v>0.54834726575209902</v>
      </c>
      <c r="L10" s="20">
        <f t="shared" ref="L10:L15" si="0">J10/$B$6</f>
        <v>0.54375191604443307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1.1522463041699793</v>
      </c>
      <c r="H11" s="49">
        <v>74.989999999999995</v>
      </c>
      <c r="I11" s="4"/>
      <c r="J11" s="9">
        <f t="shared" ref="J11:J12" si="1">D11*E11*G11*H11</f>
        <v>432034.75174853374</v>
      </c>
      <c r="K11" s="54">
        <v>4.9863704648517602E-2</v>
      </c>
      <c r="L11" s="20">
        <f t="shared" si="0"/>
        <v>4.8100282383231448E-2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1.3329068031563234</v>
      </c>
      <c r="H12" s="49">
        <v>52.18</v>
      </c>
      <c r="I12" s="4"/>
      <c r="J12" s="9">
        <f t="shared" si="1"/>
        <v>417306.46193218173</v>
      </c>
      <c r="K12" s="54">
        <v>4.7610153757887803E-2</v>
      </c>
      <c r="L12" s="20">
        <f t="shared" si="0"/>
        <v>4.646051869218247E-2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28.37</v>
      </c>
      <c r="I13" s="4"/>
      <c r="J13" s="9">
        <f>D13*E13*H13</f>
        <v>1702200</v>
      </c>
      <c r="K13" s="54">
        <v>0.19992030943525199</v>
      </c>
      <c r="L13" s="20">
        <f t="shared" si="0"/>
        <v>0.18951322860340816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30.18</v>
      </c>
      <c r="I14" s="4"/>
      <c r="J14" s="9">
        <f>D14*E14*H14</f>
        <v>452700</v>
      </c>
      <c r="K14" s="54">
        <v>4.9846905868962801E-2</v>
      </c>
      <c r="L14" s="20">
        <f t="shared" ref="L14" si="2">J14/$B$6</f>
        <v>5.0401033126990291E-2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</v>
      </c>
      <c r="I15" s="4"/>
      <c r="J15" s="9">
        <f>D15*E15*H15</f>
        <v>483000</v>
      </c>
      <c r="K15" s="54">
        <v>5.4445079767108599E-2</v>
      </c>
      <c r="L15" s="20">
        <f t="shared" si="0"/>
        <v>5.3774462116934638E-2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62.3</v>
      </c>
      <c r="I16" s="11"/>
      <c r="J16" s="13">
        <f>D16*E16*H16</f>
        <v>436100</v>
      </c>
      <c r="K16" s="55">
        <v>4.9966580770171298E-2</v>
      </c>
      <c r="L16" s="20">
        <f>J16/$B$6</f>
        <v>4.8552883911377215E-2</v>
      </c>
    </row>
    <row r="17" spans="1:13" ht="15" thickBot="1" x14ac:dyDescent="0.35">
      <c r="J17" s="33">
        <f>SUM(J10:J16)</f>
        <v>8807298.488387756</v>
      </c>
      <c r="K17" s="34">
        <f>SUM(K10:K16)</f>
        <v>0.99999999999999911</v>
      </c>
      <c r="L17" s="35">
        <f>SUM(L10:L16)</f>
        <v>0.98055432487855732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1.15865</v>
      </c>
      <c r="I22" s="22"/>
      <c r="J22" s="6">
        <f>D22*E22*H22</f>
        <v>4344937.5</v>
      </c>
      <c r="K22" s="26">
        <f>SUM(K10:K11)</f>
        <v>0.59821097040061666</v>
      </c>
      <c r="L22" s="24">
        <f>SUM(J22:J24)/$B$6</f>
        <v>0.58170988386648526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1.1522463041699793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763688</v>
      </c>
      <c r="E24" s="25">
        <v>1</v>
      </c>
      <c r="F24" s="11" t="s">
        <v>4</v>
      </c>
      <c r="G24" s="61">
        <v>1.1522463041699793</v>
      </c>
      <c r="H24" s="11"/>
      <c r="I24" s="11"/>
      <c r="J24" s="13">
        <f>D24*G24</f>
        <v>879956.67553896317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1.3329068031563234</v>
      </c>
      <c r="H25" s="7"/>
      <c r="I25" s="7"/>
      <c r="J25" s="9">
        <f>D25*G25</f>
        <v>0</v>
      </c>
      <c r="K25" s="69">
        <f>K12</f>
        <v>4.7610153757887803E-2</v>
      </c>
      <c r="L25" s="69">
        <f>(SUM(J25:J26))/B6</f>
        <v>4.7586416083640205E-2</v>
      </c>
    </row>
    <row r="26" spans="1:13" ht="15" thickBot="1" x14ac:dyDescent="0.35">
      <c r="A26" s="64" t="s">
        <v>53</v>
      </c>
      <c r="B26" s="11"/>
      <c r="C26" s="11"/>
      <c r="D26" s="52">
        <v>320667</v>
      </c>
      <c r="E26" s="25">
        <v>1</v>
      </c>
      <c r="F26" s="11" t="s">
        <v>22</v>
      </c>
      <c r="G26" s="61">
        <v>1.3329068031563234</v>
      </c>
      <c r="H26" s="11"/>
      <c r="I26" s="11"/>
      <c r="J26" s="13">
        <f>D26*G26</f>
        <v>427419.22584772873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-4344937.5</v>
      </c>
      <c r="K27" s="65">
        <f>SUM(K13:K16)</f>
        <v>0.35417887584149471</v>
      </c>
      <c r="L27" s="20">
        <f>SUM(J27:J31)/$B$6</f>
        <v>0.37287886145570392</v>
      </c>
    </row>
    <row r="28" spans="1:13" x14ac:dyDescent="0.3">
      <c r="A28" s="5" t="s">
        <v>13</v>
      </c>
      <c r="B28" s="5"/>
      <c r="C28" s="5"/>
      <c r="D28" s="49">
        <v>1362707.63</v>
      </c>
      <c r="E28" s="23">
        <v>1</v>
      </c>
      <c r="F28" s="7" t="s">
        <v>5</v>
      </c>
      <c r="G28" s="7"/>
      <c r="H28" s="4"/>
      <c r="I28" s="4"/>
      <c r="J28" s="6">
        <f>D28</f>
        <v>1362707.63</v>
      </c>
      <c r="K28" s="4"/>
      <c r="L28" s="4"/>
    </row>
    <row r="29" spans="1:13" x14ac:dyDescent="0.3">
      <c r="A29" s="5" t="s">
        <v>14</v>
      </c>
      <c r="B29" s="5"/>
      <c r="C29" s="5"/>
      <c r="D29" s="49">
        <v>7422395.3200000003</v>
      </c>
      <c r="E29" s="23">
        <v>1</v>
      </c>
      <c r="F29" s="7" t="s">
        <v>5</v>
      </c>
      <c r="G29" s="7"/>
      <c r="H29" s="4"/>
      <c r="I29" s="4"/>
      <c r="J29" s="6">
        <f>D29-J26-J24</f>
        <v>6115019.418613309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9001495.9499999993</v>
      </c>
      <c r="K32" s="42">
        <f>SUM(K22:K31)</f>
        <v>0.99999999999999911</v>
      </c>
      <c r="L32" s="42">
        <f>SUM(L22:L31)</f>
        <v>1.0021751614058294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1.15865</v>
      </c>
      <c r="I37" s="22"/>
      <c r="J37" s="6">
        <f>J22</f>
        <v>4344937.5</v>
      </c>
      <c r="K37" s="26">
        <f>SUM(K10:K11)</f>
        <v>0.59821097040061666</v>
      </c>
      <c r="L37" s="24">
        <f>SUM(J37:J39)/$B$6</f>
        <v>0.58170988386648526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763688</v>
      </c>
      <c r="E39" s="25"/>
      <c r="F39" s="11" t="s">
        <v>4</v>
      </c>
      <c r="G39" s="11"/>
      <c r="H39" s="11"/>
      <c r="I39" s="11"/>
      <c r="J39" s="29">
        <f>J24</f>
        <v>879956.67553896317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4.7610153757887803E-2</v>
      </c>
      <c r="L40" s="69">
        <f>(SUM(J40:J41))/$B$6</f>
        <v>4.7586416083640205E-2</v>
      </c>
    </row>
    <row r="41" spans="1:12" ht="15" thickBot="1" x14ac:dyDescent="0.35">
      <c r="A41" s="11" t="s">
        <v>53</v>
      </c>
      <c r="B41" s="11"/>
      <c r="C41" s="11"/>
      <c r="D41" s="29">
        <v>320667</v>
      </c>
      <c r="E41" s="25"/>
      <c r="F41" s="11" t="s">
        <v>22</v>
      </c>
      <c r="G41" s="11"/>
      <c r="H41" s="11"/>
      <c r="I41" s="11"/>
      <c r="J41" s="29">
        <f>J26</f>
        <v>427419.22584772873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3349182.5486133089</v>
      </c>
      <c r="K42" s="71">
        <f>K27</f>
        <v>0.35417887584149471</v>
      </c>
      <c r="L42" s="71">
        <f>L27</f>
        <v>0.37287886145570392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9001495.9499999993</v>
      </c>
      <c r="K43" s="42">
        <f>SUM(K37:K42)</f>
        <v>0.99999999999999911</v>
      </c>
      <c r="L43" s="42">
        <f>SUM(L37:L42)</f>
        <v>1.0021751614058294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2025-07-30T12:20:31Z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