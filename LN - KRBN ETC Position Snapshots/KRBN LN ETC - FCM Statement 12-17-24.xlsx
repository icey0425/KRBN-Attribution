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954A6B47-F495-4D36-B6F6-8329BBEB3397}" xr6:coauthVersionLast="47" xr6:coauthVersionMax="47" xr10:uidLastSave="{A901BC33-F452-4DB4-8BBF-834372093F9F}"/>
  <bookViews>
    <workbookView xWindow="30090" yWindow="4230" windowWidth="22095" windowHeight="973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4" i="1" l="1"/>
  <c r="L14" i="1" s="1"/>
  <c r="J29" i="1"/>
  <c r="K37" i="1"/>
  <c r="K35" i="1"/>
  <c r="J27" i="1"/>
  <c r="J26" i="1"/>
  <c r="K25" i="1"/>
  <c r="K38" i="1" s="1"/>
  <c r="K24" i="1"/>
  <c r="J24" i="1"/>
  <c r="J37" i="1" s="1"/>
  <c r="L37" i="1" s="1"/>
  <c r="J23" i="1"/>
  <c r="J36" i="1" s="1"/>
  <c r="K22" i="1"/>
  <c r="J22" i="1"/>
  <c r="J25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L38" i="1" s="1"/>
  <c r="K39" i="1"/>
  <c r="K30" i="1"/>
  <c r="L24" i="1"/>
  <c r="J30" i="1"/>
  <c r="J35" i="1"/>
  <c r="L35" i="1" s="1"/>
  <c r="L17" i="1"/>
  <c r="J38" i="1"/>
  <c r="L22" i="1"/>
  <c r="J17" i="1"/>
  <c r="L39" i="1" l="1"/>
  <c r="J39" i="1"/>
  <c r="L30" i="1"/>
</calcChain>
</file>

<file path=xl/sharedStrings.xml><?xml version="1.0" encoding="utf-8"?>
<sst xmlns="http://schemas.openxmlformats.org/spreadsheetml/2006/main" count="95" uniqueCount="54">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</sst>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9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35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36</v>
      </c>
      <c r="J2" s="48"/>
      <c r="K2" s="49"/>
      <c r="L2" s="50"/>
    </row>
    <row r="3" spans="1:12" x14ac:dyDescent="0.3">
      <c r="A3" t="s">
        <v>15</v>
      </c>
      <c r="B3" s="62">
        <v>45643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11148626.640000001</v>
      </c>
      <c r="J6" t="s">
        <v>27</v>
      </c>
    </row>
    <row r="7" spans="1:12" x14ac:dyDescent="0.3">
      <c r="J7" s="63">
        <f>(D26+D27)/B6</f>
        <v>0.94510584489355531</v>
      </c>
      <c r="K7" s="19"/>
    </row>
    <row r="8" spans="1:12" ht="15" thickBot="1" x14ac:dyDescent="0.35">
      <c r="A8" s="3" t="s">
        <v>28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29</v>
      </c>
      <c r="B10" s="6" t="s">
        <v>30</v>
      </c>
      <c r="C10" s="9" t="s">
        <v>31</v>
      </c>
      <c r="D10" s="53">
        <v>86</v>
      </c>
      <c r="E10" s="51">
        <v>1000</v>
      </c>
      <c r="F10" s="5" t="s">
        <v>4</v>
      </c>
      <c r="G10" s="70">
        <v>1.0499018341785042</v>
      </c>
      <c r="H10" s="54">
        <v>64.260000000000005</v>
      </c>
      <c r="I10" s="5"/>
      <c r="J10" s="10">
        <f>D10*E10*G10*H10</f>
        <v>5802135.5003307192</v>
      </c>
      <c r="K10" s="60">
        <v>0.53238589322391305</v>
      </c>
      <c r="L10" s="21">
        <f t="shared" ref="L10:L15" si="0">J10/$B$6</f>
        <v>0.52043499954634043</v>
      </c>
    </row>
    <row r="11" spans="1:12" x14ac:dyDescent="0.3">
      <c r="A11" s="5" t="s">
        <v>37</v>
      </c>
      <c r="B11" s="6" t="s">
        <v>38</v>
      </c>
      <c r="C11" s="9" t="s">
        <v>39</v>
      </c>
      <c r="D11" s="53">
        <v>8</v>
      </c>
      <c r="E11" s="51">
        <v>1000</v>
      </c>
      <c r="F11" s="5" t="s">
        <v>4</v>
      </c>
      <c r="G11" s="70">
        <v>1.0499018341785042</v>
      </c>
      <c r="H11" s="54">
        <v>66.2</v>
      </c>
      <c r="I11" s="5"/>
      <c r="J11" s="10">
        <f t="shared" ref="J11:J12" si="1">D11*E11*G11*H11</f>
        <v>556028.0113809359</v>
      </c>
      <c r="K11" s="60">
        <v>4.8437459744480597E-2</v>
      </c>
      <c r="L11" s="21">
        <f t="shared" si="0"/>
        <v>4.9874126144467949E-2</v>
      </c>
    </row>
    <row r="12" spans="1:12" x14ac:dyDescent="0.3">
      <c r="A12" s="5" t="s">
        <v>40</v>
      </c>
      <c r="B12" s="6" t="s">
        <v>41</v>
      </c>
      <c r="C12" s="9" t="s">
        <v>42</v>
      </c>
      <c r="D12" s="53">
        <v>12</v>
      </c>
      <c r="E12" s="51">
        <v>1000</v>
      </c>
      <c r="F12" s="5" t="s">
        <v>22</v>
      </c>
      <c r="G12" s="70">
        <v>1.271051795360661</v>
      </c>
      <c r="H12" s="54">
        <v>33.5</v>
      </c>
      <c r="I12" s="5"/>
      <c r="J12" s="10">
        <f t="shared" si="1"/>
        <v>510962.82173498574</v>
      </c>
      <c r="K12" s="60">
        <v>4.6376872153559102E-2</v>
      </c>
      <c r="L12" s="21">
        <f t="shared" si="0"/>
        <v>4.5831907214625829E-2</v>
      </c>
    </row>
    <row r="13" spans="1:12" x14ac:dyDescent="0.3">
      <c r="A13" s="5" t="s">
        <v>32</v>
      </c>
      <c r="B13" s="6" t="s">
        <v>33</v>
      </c>
      <c r="C13" s="9" t="s">
        <v>34</v>
      </c>
      <c r="D13" s="53">
        <v>63</v>
      </c>
      <c r="E13" s="51">
        <v>1000</v>
      </c>
      <c r="F13" s="5" t="s">
        <v>5</v>
      </c>
      <c r="G13" s="52"/>
      <c r="H13" s="54">
        <v>36.74</v>
      </c>
      <c r="I13" s="5"/>
      <c r="J13" s="10">
        <f>D13*E13*H13</f>
        <v>2314620</v>
      </c>
      <c r="K13" s="60">
        <v>0.216227730093734</v>
      </c>
      <c r="L13" s="21">
        <f t="shared" si="0"/>
        <v>0.20761480985428352</v>
      </c>
    </row>
    <row r="14" spans="1:12" x14ac:dyDescent="0.3">
      <c r="A14" s="5" t="s">
        <v>43</v>
      </c>
      <c r="B14" s="6" t="s">
        <v>44</v>
      </c>
      <c r="C14" s="9" t="s">
        <v>45</v>
      </c>
      <c r="D14" s="53">
        <v>16</v>
      </c>
      <c r="E14" s="51">
        <v>1000</v>
      </c>
      <c r="F14" s="5" t="s">
        <v>5</v>
      </c>
      <c r="G14" s="52"/>
      <c r="H14" s="54">
        <v>39.01</v>
      </c>
      <c r="I14" s="5"/>
      <c r="J14" s="10">
        <f>D14*E14*H14</f>
        <v>624160</v>
      </c>
      <c r="K14" s="60">
        <v>5.4187420435118198E-2</v>
      </c>
      <c r="L14" s="21">
        <f t="shared" ref="L14" si="2">J14/$B$6</f>
        <v>5.5985371127290705E-2</v>
      </c>
    </row>
    <row r="15" spans="1:12" x14ac:dyDescent="0.3">
      <c r="A15" s="5" t="s">
        <v>46</v>
      </c>
      <c r="B15" s="6" t="s">
        <v>47</v>
      </c>
      <c r="C15" s="9" t="s">
        <v>48</v>
      </c>
      <c r="D15" s="53">
        <v>24</v>
      </c>
      <c r="E15" s="51">
        <v>1000</v>
      </c>
      <c r="F15" s="5" t="s">
        <v>5</v>
      </c>
      <c r="G15" s="5"/>
      <c r="H15" s="54">
        <v>24.31</v>
      </c>
      <c r="I15" s="5"/>
      <c r="J15" s="10">
        <f>D15*E15*H15</f>
        <v>583440</v>
      </c>
      <c r="K15" s="60">
        <v>5.4761114184462202E-2</v>
      </c>
      <c r="L15" s="21">
        <f t="shared" si="0"/>
        <v>5.2332903310860178E-2</v>
      </c>
    </row>
    <row r="16" spans="1:12" ht="15" thickBot="1" x14ac:dyDescent="0.35">
      <c r="A16" s="12" t="s">
        <v>49</v>
      </c>
      <c r="B16" s="13" t="s">
        <v>50</v>
      </c>
      <c r="C16" s="13" t="s">
        <v>51</v>
      </c>
      <c r="D16" s="55">
        <v>10</v>
      </c>
      <c r="E16" s="56">
        <v>1000</v>
      </c>
      <c r="F16" s="12" t="s">
        <v>5</v>
      </c>
      <c r="G16" s="12"/>
      <c r="H16" s="57">
        <v>53.5</v>
      </c>
      <c r="I16" s="12"/>
      <c r="J16" s="14">
        <f>D16*E16*H16</f>
        <v>535000</v>
      </c>
      <c r="K16" s="61">
        <v>4.7623510164731597E-2</v>
      </c>
      <c r="L16" s="21">
        <f>J16/$B$6</f>
        <v>4.7987973521373566E-2</v>
      </c>
    </row>
    <row r="17" spans="1:13" ht="15" thickBot="1" x14ac:dyDescent="0.35">
      <c r="J17" s="35">
        <f>SUM(J10:J16)</f>
        <v>10926346.333446641</v>
      </c>
      <c r="K17" s="36">
        <f>SUM(K10:K16)</f>
        <v>0.99999999999999867</v>
      </c>
      <c r="L17" s="37">
        <f>SUM(L10:L16)</f>
        <v>0.98006209071924211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52</v>
      </c>
      <c r="C22" s="6" t="s">
        <v>53</v>
      </c>
      <c r="D22" s="53">
        <v>52</v>
      </c>
      <c r="E22" s="51">
        <v>125000</v>
      </c>
      <c r="F22" s="5" t="s">
        <v>5</v>
      </c>
      <c r="G22" s="23"/>
      <c r="H22" s="58">
        <v>1.0530999999999999</v>
      </c>
      <c r="I22" s="23"/>
      <c r="J22" s="7">
        <f>D22*E22*H22</f>
        <v>6845149.9999999991</v>
      </c>
      <c r="K22" s="27">
        <f>SUM(K10:K11)</f>
        <v>0.5808233529683936</v>
      </c>
      <c r="L22" s="25">
        <f>SUM(J22:J23)/$B$6</f>
        <v>0.61399042420529015</v>
      </c>
      <c r="M22" s="19"/>
    </row>
    <row r="23" spans="1:13" ht="15" thickBot="1" x14ac:dyDescent="0.35">
      <c r="A23" s="12" t="s">
        <v>23</v>
      </c>
      <c r="B23" s="13"/>
      <c r="C23" s="13"/>
      <c r="D23" s="59"/>
      <c r="E23" s="42">
        <v>1</v>
      </c>
      <c r="F23" s="12" t="s">
        <v>4</v>
      </c>
      <c r="G23" s="68">
        <v>1.0499018341785042</v>
      </c>
      <c r="H23" s="12"/>
      <c r="I23" s="12"/>
      <c r="J23" s="14">
        <f>D23*G23</f>
        <v>0</v>
      </c>
      <c r="K23" s="28"/>
      <c r="L23" s="30"/>
    </row>
    <row r="24" spans="1:13" ht="15" thickBot="1" x14ac:dyDescent="0.35">
      <c r="A24" s="41" t="s">
        <v>24</v>
      </c>
      <c r="B24" s="41"/>
      <c r="C24" s="41"/>
      <c r="D24" s="59"/>
      <c r="E24" s="42">
        <v>1</v>
      </c>
      <c r="F24" s="41" t="s">
        <v>22</v>
      </c>
      <c r="G24" s="69">
        <v>1.271051795360661</v>
      </c>
      <c r="H24" s="41"/>
      <c r="I24" s="41"/>
      <c r="J24" s="43">
        <f>D24*G24</f>
        <v>0</v>
      </c>
      <c r="K24" s="44">
        <f>K12</f>
        <v>4.6376872153559102E-2</v>
      </c>
      <c r="L24" s="44">
        <f>J24/B6</f>
        <v>0</v>
      </c>
    </row>
    <row r="25" spans="1:13" x14ac:dyDescent="0.3">
      <c r="A25" s="5" t="s">
        <v>8</v>
      </c>
      <c r="B25" s="6" t="s">
        <v>52</v>
      </c>
      <c r="C25" s="6" t="s">
        <v>53</v>
      </c>
      <c r="D25" s="51">
        <v>-52</v>
      </c>
      <c r="E25" s="24">
        <v>-125000</v>
      </c>
      <c r="F25" s="5" t="s">
        <v>5</v>
      </c>
      <c r="G25" s="8"/>
      <c r="H25" s="8"/>
      <c r="I25" s="8"/>
      <c r="J25" s="7">
        <f>-J22</f>
        <v>-6845149.9999999991</v>
      </c>
      <c r="K25" s="29">
        <f>SUM(K13:K16)</f>
        <v>0.372799774878046</v>
      </c>
      <c r="L25" s="25">
        <f>SUM(J25:J29)/$B$6</f>
        <v>0.38627006438167</v>
      </c>
    </row>
    <row r="26" spans="1:13" x14ac:dyDescent="0.3">
      <c r="A26" s="6" t="s">
        <v>13</v>
      </c>
      <c r="B26" s="6"/>
      <c r="C26" s="6"/>
      <c r="D26" s="54">
        <v>1949202.36</v>
      </c>
      <c r="E26" s="24">
        <v>1</v>
      </c>
      <c r="F26" s="8" t="s">
        <v>5</v>
      </c>
      <c r="G26" s="8"/>
      <c r="H26" s="5"/>
      <c r="I26" s="5"/>
      <c r="J26" s="7">
        <f>D26</f>
        <v>1949202.36</v>
      </c>
      <c r="K26" s="5"/>
      <c r="L26" s="5"/>
    </row>
    <row r="27" spans="1:13" x14ac:dyDescent="0.3">
      <c r="A27" s="6" t="s">
        <v>14</v>
      </c>
      <c r="B27" s="6"/>
      <c r="C27" s="6"/>
      <c r="D27" s="54">
        <v>8587429.8399999999</v>
      </c>
      <c r="E27" s="24">
        <v>1</v>
      </c>
      <c r="F27" s="8" t="s">
        <v>5</v>
      </c>
      <c r="G27" s="8"/>
      <c r="H27" s="5"/>
      <c r="I27" s="5"/>
      <c r="J27" s="7">
        <f>D27</f>
        <v>8587429.8399999999</v>
      </c>
      <c r="K27" s="5"/>
      <c r="L27" s="5"/>
    </row>
    <row r="28" spans="1:13" x14ac:dyDescent="0.3">
      <c r="A28" s="40"/>
      <c r="B28" s="40"/>
      <c r="C28" s="40"/>
      <c r="D28" s="64"/>
      <c r="E28" s="66"/>
      <c r="F28" s="5"/>
      <c r="G28" s="5"/>
      <c r="H28" s="23"/>
      <c r="I28" s="23"/>
      <c r="J28" s="65"/>
      <c r="K28" s="23"/>
      <c r="L28" s="23"/>
    </row>
    <row r="29" spans="1:13" ht="15" thickBot="1" x14ac:dyDescent="0.35">
      <c r="A29" s="13" t="s">
        <v>25</v>
      </c>
      <c r="B29" s="13"/>
      <c r="C29" s="13"/>
      <c r="D29" s="32">
        <v>614898.53</v>
      </c>
      <c r="E29" s="26">
        <v>1</v>
      </c>
      <c r="F29" s="12" t="s">
        <v>5</v>
      </c>
      <c r="G29" s="12"/>
      <c r="H29" s="12"/>
      <c r="I29" s="12"/>
      <c r="J29" s="14">
        <f>D29</f>
        <v>614898.53</v>
      </c>
      <c r="K29" s="12"/>
      <c r="L29" s="12"/>
    </row>
    <row r="30" spans="1:13" ht="15" thickBot="1" x14ac:dyDescent="0.35">
      <c r="A30" s="1"/>
      <c r="B30" s="1"/>
      <c r="C30" s="1"/>
      <c r="D30" s="38"/>
      <c r="E30" s="1"/>
      <c r="J30" s="35">
        <f>SUM(J22:J29)</f>
        <v>11151530.729999999</v>
      </c>
      <c r="K30" s="46">
        <f>SUM(K22:K29)</f>
        <v>0.99999999999999867</v>
      </c>
      <c r="L30" s="46">
        <f>SUM(L22:L29)</f>
        <v>1.0002604885869602</v>
      </c>
    </row>
    <row r="31" spans="1:13" x14ac:dyDescent="0.3">
      <c r="A31" s="1"/>
      <c r="B31" s="38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3" t="s">
        <v>16</v>
      </c>
    </row>
    <row r="34" spans="1:12" ht="29.4" thickBot="1" x14ac:dyDescent="0.35">
      <c r="A34" s="16"/>
      <c r="B34" s="17" t="s">
        <v>7</v>
      </c>
      <c r="C34" s="17" t="s">
        <v>0</v>
      </c>
      <c r="D34" s="11" t="s">
        <v>18</v>
      </c>
      <c r="E34" s="11" t="s">
        <v>9</v>
      </c>
      <c r="F34" s="11" t="s">
        <v>3</v>
      </c>
      <c r="G34" s="11"/>
      <c r="H34" s="11" t="s">
        <v>6</v>
      </c>
      <c r="I34" s="18"/>
      <c r="J34" s="15" t="s">
        <v>17</v>
      </c>
      <c r="K34" s="20" t="s">
        <v>11</v>
      </c>
      <c r="L34" s="20" t="s">
        <v>10</v>
      </c>
    </row>
    <row r="35" spans="1:12" x14ac:dyDescent="0.3">
      <c r="A35" s="23" t="s">
        <v>8</v>
      </c>
      <c r="B35" s="40" t="s">
        <v>52</v>
      </c>
      <c r="C35" s="40" t="s">
        <v>53</v>
      </c>
      <c r="D35" s="24">
        <v>52</v>
      </c>
      <c r="E35" s="24">
        <v>125000</v>
      </c>
      <c r="F35" s="5" t="s">
        <v>5</v>
      </c>
      <c r="G35" s="23"/>
      <c r="H35" s="33">
        <v>1.0530999999999999</v>
      </c>
      <c r="I35" s="23"/>
      <c r="J35" s="7">
        <f>J22</f>
        <v>6845149.9999999991</v>
      </c>
      <c r="K35" s="27">
        <f>SUM(K10:K11)</f>
        <v>0.5808233529683936</v>
      </c>
      <c r="L35" s="25">
        <f>SUM(J35:J36)/$B$6</f>
        <v>0.61399042420529015</v>
      </c>
    </row>
    <row r="36" spans="1:12" ht="15" thickBot="1" x14ac:dyDescent="0.35">
      <c r="A36" s="12" t="s">
        <v>23</v>
      </c>
      <c r="B36" s="12"/>
      <c r="C36" s="12"/>
      <c r="D36" s="31">
        <v>0</v>
      </c>
      <c r="E36" s="26"/>
      <c r="F36" s="12" t="s">
        <v>4</v>
      </c>
      <c r="G36" s="12"/>
      <c r="H36" s="12"/>
      <c r="I36" s="12"/>
      <c r="J36" s="31">
        <f>J23</f>
        <v>0</v>
      </c>
      <c r="K36" s="28"/>
      <c r="L36" s="30"/>
    </row>
    <row r="37" spans="1:12" ht="15" thickBot="1" x14ac:dyDescent="0.35">
      <c r="A37" s="41" t="s">
        <v>24</v>
      </c>
      <c r="B37" s="41"/>
      <c r="C37" s="41"/>
      <c r="D37" s="45">
        <v>0</v>
      </c>
      <c r="E37" s="42"/>
      <c r="F37" s="41" t="s">
        <v>22</v>
      </c>
      <c r="G37" s="41"/>
      <c r="H37" s="41"/>
      <c r="I37" s="41"/>
      <c r="J37" s="45">
        <f>J24</f>
        <v>0</v>
      </c>
      <c r="K37" s="44">
        <f>K12</f>
        <v>4.6376872153559102E-2</v>
      </c>
      <c r="L37" s="44">
        <f>J37/$B$6</f>
        <v>0</v>
      </c>
    </row>
    <row r="38" spans="1:12" ht="15" thickBot="1" x14ac:dyDescent="0.35">
      <c r="A38" s="13" t="s">
        <v>26</v>
      </c>
      <c r="B38" s="13"/>
      <c r="C38" s="13"/>
      <c r="D38" s="47"/>
      <c r="E38" s="26"/>
      <c r="F38" s="12" t="s">
        <v>5</v>
      </c>
      <c r="G38" s="12"/>
      <c r="H38" s="12"/>
      <c r="I38" s="12"/>
      <c r="J38" s="31">
        <f>SUM(J25,J26,J27,J29)</f>
        <v>4306380.7300000014</v>
      </c>
      <c r="K38" s="67">
        <f>K25</f>
        <v>0.372799774878046</v>
      </c>
      <c r="L38" s="67">
        <f>L25</f>
        <v>0.38627006438167</v>
      </c>
    </row>
    <row r="39" spans="1:12" ht="15" thickBot="1" x14ac:dyDescent="0.35">
      <c r="A39" s="1"/>
      <c r="B39" s="1"/>
      <c r="C39" s="1"/>
      <c r="D39" s="1"/>
      <c r="E39" s="1"/>
      <c r="J39" s="35">
        <f>SUM(J35:J38)</f>
        <v>11151530.73</v>
      </c>
      <c r="K39" s="46">
        <f>SUM(K35:K38)</f>
        <v>0.99999999999999867</v>
      </c>
      <c r="L39" s="46">
        <f>SUM(L35:L38)</f>
        <v>1.0002604885869602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2024-12-18T13:38:34Z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