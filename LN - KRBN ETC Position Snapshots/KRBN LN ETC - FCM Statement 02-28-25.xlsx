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4" documentId="8_{BD8F1EE4-95D1-4249-943B-91911486FFD6}" xr6:coauthVersionLast="47" xr6:coauthVersionMax="47" xr10:uidLastSave="{BB31B3E1-1DCD-445A-908D-9BF0BC4E85E7}"/>
  <bookViews>
    <workbookView xWindow="19090" yWindow="-110" windowWidth="19420" windowHeight="1030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<sst xmlns="http://schemas.openxmlformats.org/spreadsheetml/2006/main" count="103" uniqueCount="56">
  <si>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</si>
  <si>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</si>
  <si>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</si>
  <si>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</si>
  <si>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</si>
  <si>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</si>
  <si>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</si>
  <si>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</si>
  <si>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</si>
  <si>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</si>
  <si>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</si>
  <si>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</si>
  <si>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</si>
  <si>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</si>
  <si>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</si>
  <si>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</si>
  <si>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</si>
  <si>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</si>
  <si>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</si>
  <si>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</si>
  <si>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</si>
  <si>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</si>
  <si>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</si>
  <si>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</si>
  <si>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</si>
  <si>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</si>
  <si>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</si>
  <si>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</si>
  <si>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</si>
  <si>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</si>
  <si>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</si>
  <si>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</si>
  <si>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</si>
  <si>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</si>
  <si>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</si>
  <si>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</si>
  <si>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</si>
  <si>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</si>
  <si>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</si>
  <si>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</si>
  <si>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</si>
  <si>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</si>
  <si>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</si>
  <si>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</si>
  <si>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</si>
  <si>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</si>
  <si>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</si>
  <si>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</si>
  <si>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</si>
  <si>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</si>
  <si>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</si>
  <si>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 Cash in BBH</t>
  </si>
  <si>
    <t>EURO in CFC</t>
  </si>
  <si>
    <t>GBP Cash in BBH</t>
  </si>
  <si>
    <t>GBP in CFC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</si>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</sst>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45716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11423836.25</v>
      </c>
      <c r="J6" t="s">
        <v>25</v>
      </c>
    </row>
    <row r="7" spans="1:12" x14ac:dyDescent="0.3">
      <c r="J7" s="57">
        <f>(D28+D29)/B6</f>
        <v>0.94754054882395577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1.0399983360026626</v>
      </c>
      <c r="H10" s="49">
        <v>71</v>
      </c>
      <c r="I10" s="4"/>
      <c r="J10" s="9">
        <f>D10*E10*G10*H10</f>
        <v>6350229.8396322578</v>
      </c>
      <c r="K10" s="54">
        <v>0.56778581052166099</v>
      </c>
      <c r="L10" s="20">
        <f t="shared" ref="L10:L15" si="0">J10/$B$6</f>
        <v>0.55587542579072402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1.0399983360026626</v>
      </c>
      <c r="H11" s="49">
        <v>72.98</v>
      </c>
      <c r="I11" s="4"/>
      <c r="J11" s="9">
        <f t="shared" ref="J11:J12" si="1">D11*E11*G11*H11</f>
        <v>607192.62849179457</v>
      </c>
      <c r="K11" s="54">
        <v>5.1542751246394403E-2</v>
      </c>
      <c r="L11" s="20">
        <f t="shared" si="0"/>
        <v>5.3151377103448465E-2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1.2591445372014254</v>
      </c>
      <c r="H12" s="49">
        <v>42.87</v>
      </c>
      <c r="I12" s="4"/>
      <c r="J12" s="9">
        <f t="shared" si="1"/>
        <v>647754.31571790122</v>
      </c>
      <c r="K12" s="54">
        <v>5.7290146195767402E-2</v>
      </c>
      <c r="L12" s="20">
        <f t="shared" si="0"/>
        <v>5.6701995856943521E-2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32.06</v>
      </c>
      <c r="I13" s="4"/>
      <c r="J13" s="9">
        <f>D13*E13*H13</f>
        <v>2019780.0000000002</v>
      </c>
      <c r="K13" s="54">
        <v>0.18386146649704799</v>
      </c>
      <c r="L13" s="20">
        <f t="shared" si="0"/>
        <v>0.17680400487183107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34.1</v>
      </c>
      <c r="I14" s="4"/>
      <c r="J14" s="9">
        <f>D14*E14*H14</f>
        <v>545600</v>
      </c>
      <c r="K14" s="54">
        <v>4.61563938296045E-2</v>
      </c>
      <c r="L14" s="20">
        <f t="shared" ref="L14" si="2">J14/$B$6</f>
        <v>4.7759788223505045E-2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21.59</v>
      </c>
      <c r="I15" s="4"/>
      <c r="J15" s="9">
        <f>D15*E15*H15</f>
        <v>518160</v>
      </c>
      <c r="K15" s="54">
        <v>4.7390896437940401E-2</v>
      </c>
      <c r="L15" s="20">
        <f t="shared" si="0"/>
        <v>4.5357793009331696E-2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53</v>
      </c>
      <c r="I16" s="11"/>
      <c r="J16" s="13">
        <f>D16*E16*H16</f>
        <v>530000</v>
      </c>
      <c r="K16" s="55">
        <v>4.5972535271583397E-2</v>
      </c>
      <c r="L16" s="20">
        <f>J16/$B$6</f>
        <v>4.6394222431190749E-2</v>
      </c>
    </row>
    <row r="17" spans="1:13" ht="15" thickBot="1" x14ac:dyDescent="0.35">
      <c r="J17" s="33">
        <f>SUM(J10:J16)</f>
        <v>11218716.783841955</v>
      </c>
      <c r="K17" s="34">
        <f>SUM(K10:K16)</f>
        <v>0.999999999999999</v>
      </c>
      <c r="L17" s="35">
        <f>SUM(L10:L16)</f>
        <v>0.98204460728697462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50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1.0375000000000001</v>
      </c>
      <c r="I22" s="22"/>
      <c r="J22" s="6">
        <f>D22*E22*H22</f>
        <v>6484375.0000000009</v>
      </c>
      <c r="K22" s="26">
        <f>SUM(K10:K11)</f>
        <v>0.6193285617680554</v>
      </c>
      <c r="L22" s="24">
        <f>SUM(J22:J24)/$B$6</f>
        <v>0.62241460073624877</v>
      </c>
      <c r="M22" s="18"/>
    </row>
    <row r="23" spans="1:13" x14ac:dyDescent="0.3">
      <c r="A23" s="4" t="s">
        <v>51</v>
      </c>
      <c r="B23" s="5"/>
      <c r="C23" s="5"/>
      <c r="D23" s="49"/>
      <c r="E23" s="60">
        <v>1</v>
      </c>
      <c r="F23" s="4" t="s">
        <v>4</v>
      </c>
      <c r="G23" s="66">
        <v>1.0399983360026626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52</v>
      </c>
      <c r="B24" s="12"/>
      <c r="C24" s="12"/>
      <c r="D24" s="52">
        <v>601912</v>
      </c>
      <c r="E24" s="25">
        <v>1</v>
      </c>
      <c r="F24" s="11" t="s">
        <v>4</v>
      </c>
      <c r="G24" s="61">
        <v>1.0399983360026626</v>
      </c>
      <c r="H24" s="11"/>
      <c r="I24" s="11"/>
      <c r="J24" s="13">
        <f>D24*G24</f>
        <v>625987.47842003463</v>
      </c>
      <c r="K24" s="27"/>
      <c r="L24" s="28"/>
    </row>
    <row r="25" spans="1:13" x14ac:dyDescent="0.3">
      <c r="A25" s="7" t="s">
        <v>53</v>
      </c>
      <c r="B25" s="7"/>
      <c r="C25" s="7"/>
      <c r="D25" s="67"/>
      <c r="E25" s="23">
        <v>1</v>
      </c>
      <c r="F25" s="7" t="s">
        <v>22</v>
      </c>
      <c r="G25" s="68">
        <v>1.2591445372014254</v>
      </c>
      <c r="H25" s="7"/>
      <c r="I25" s="7"/>
      <c r="J25" s="9">
        <f>D25*G25</f>
        <v>0</v>
      </c>
      <c r="K25" s="69">
        <f>K12</f>
        <v>5.7290146195767402E-2</v>
      </c>
      <c r="L25" s="69">
        <f>(SUM(J25:J26))/B6</f>
        <v>4.9099845833140733E-2</v>
      </c>
    </row>
    <row r="26" spans="1:13" ht="15" thickBot="1" x14ac:dyDescent="0.35">
      <c r="A26" s="64" t="s">
        <v>54</v>
      </c>
      <c r="B26" s="11"/>
      <c r="C26" s="11"/>
      <c r="D26" s="52">
        <v>445468</v>
      </c>
      <c r="E26" s="25">
        <v>1</v>
      </c>
      <c r="F26" s="11" t="s">
        <v>22</v>
      </c>
      <c r="G26" s="61">
        <v>1.2591445372014254</v>
      </c>
      <c r="H26" s="11"/>
      <c r="I26" s="11"/>
      <c r="J26" s="13">
        <f>D26*G26</f>
        <v>560908.59869804455</v>
      </c>
      <c r="K26" s="27"/>
      <c r="L26" s="27"/>
    </row>
    <row r="27" spans="1:13" x14ac:dyDescent="0.3">
      <c r="A27" s="7" t="s">
        <v>8</v>
      </c>
      <c r="B27" s="8" t="s">
        <v>50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-6484375.0000000009</v>
      </c>
      <c r="K27" s="65">
        <f>SUM(K13:K16)</f>
        <v>0.32338129203617633</v>
      </c>
      <c r="L27" s="20">
        <f>SUM(J27:J31)/$B$6</f>
        <v>0.3289791853311903</v>
      </c>
    </row>
    <row r="28" spans="1:13" x14ac:dyDescent="0.3">
      <c r="A28" s="5" t="s">
        <v>13</v>
      </c>
      <c r="B28" s="5"/>
      <c r="C28" s="5"/>
      <c r="D28" s="49">
        <v>1774966.43</v>
      </c>
      <c r="E28" s="23">
        <v>1</v>
      </c>
      <c r="F28" s="7" t="s">
        <v>5</v>
      </c>
      <c r="G28" s="7"/>
      <c r="H28" s="4"/>
      <c r="I28" s="4"/>
      <c r="J28" s="6">
        <f>D28</f>
        <v>1774966.43</v>
      </c>
      <c r="K28" s="4"/>
      <c r="L28" s="4"/>
    </row>
    <row r="29" spans="1:13" x14ac:dyDescent="0.3">
      <c r="A29" s="5" t="s">
        <v>14</v>
      </c>
      <c r="B29" s="5"/>
      <c r="C29" s="5"/>
      <c r="D29" s="49">
        <v>9049581.6400000006</v>
      </c>
      <c r="E29" s="23">
        <v>1</v>
      </c>
      <c r="F29" s="7" t="s">
        <v>5</v>
      </c>
      <c r="G29" s="7"/>
      <c r="H29" s="4"/>
      <c r="I29" s="4"/>
      <c r="J29" s="6">
        <f>D29-J26-J24</f>
        <v>7862685.5628819214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604927.35</v>
      </c>
      <c r="E31" s="25">
        <v>1</v>
      </c>
      <c r="F31" s="11" t="s">
        <v>5</v>
      </c>
      <c r="G31" s="11"/>
      <c r="H31" s="11"/>
      <c r="I31" s="11"/>
      <c r="J31" s="13">
        <f>D31</f>
        <v>604927.35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11429475.42</v>
      </c>
      <c r="K32" s="42">
        <f>SUM(K22:K31)</f>
        <v>0.99999999999999911</v>
      </c>
      <c r="L32" s="42">
        <f>SUM(L22:L31)</f>
        <v>1.0004936319005799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50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1.0375000000000001</v>
      </c>
      <c r="I37" s="22"/>
      <c r="J37" s="6">
        <f>J22</f>
        <v>6484375.0000000009</v>
      </c>
      <c r="K37" s="26">
        <f>SUM(K10:K11)</f>
        <v>0.6193285617680554</v>
      </c>
      <c r="L37" s="24">
        <f>SUM(J37:J39)/$B$6</f>
        <v>0.62241460073624877</v>
      </c>
    </row>
    <row r="38" spans="1:12" x14ac:dyDescent="0.3">
      <c r="A38" s="4" t="s">
        <v>51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52</v>
      </c>
      <c r="B39" s="11"/>
      <c r="C39" s="11"/>
      <c r="D39" s="29">
        <v>601912</v>
      </c>
      <c r="E39" s="25"/>
      <c r="F39" s="11" t="s">
        <v>4</v>
      </c>
      <c r="G39" s="11"/>
      <c r="H39" s="11"/>
      <c r="I39" s="11"/>
      <c r="J39" s="29">
        <f>J24</f>
        <v>625987.47842003463</v>
      </c>
      <c r="K39" s="27"/>
      <c r="L39" s="28"/>
    </row>
    <row r="40" spans="1:12" x14ac:dyDescent="0.3">
      <c r="A40" s="7" t="s">
        <v>53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5.7290146195767402E-2</v>
      </c>
      <c r="L40" s="69">
        <f>(SUM(J40:J41))/$B$6</f>
        <v>4.9099845833140733E-2</v>
      </c>
    </row>
    <row r="41" spans="1:12" ht="15" thickBot="1" x14ac:dyDescent="0.35">
      <c r="A41" s="11" t="s">
        <v>54</v>
      </c>
      <c r="B41" s="11"/>
      <c r="C41" s="11"/>
      <c r="D41" s="29">
        <v>445468</v>
      </c>
      <c r="E41" s="25"/>
      <c r="F41" s="11" t="s">
        <v>22</v>
      </c>
      <c r="G41" s="11"/>
      <c r="H41" s="11"/>
      <c r="I41" s="11"/>
      <c r="J41" s="29">
        <f>J26</f>
        <v>560908.59869804455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3758204.3428819203</v>
      </c>
      <c r="K42" s="71">
        <f>K27</f>
        <v>0.32338129203617633</v>
      </c>
      <c r="L42" s="71">
        <f>L27</f>
        <v>0.3289791853311903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11429475.42</v>
      </c>
      <c r="K43" s="42">
        <f>SUM(K37:K42)</f>
        <v>0.99999999999999911</v>
      </c>
      <c r="L43" s="42">
        <f>SUM(L37:L42)</f>
        <v>1.0004936319005799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2025-03-03T01:02:12Z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