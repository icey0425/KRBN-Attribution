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0" documentId="8_{23793E8B-B9B9-4288-B757-28F7E1EAE8D8}" xr6:coauthVersionLast="47" xr6:coauthVersionMax="47" xr10:uidLastSave="{00000000-0000-0000-0000-000000000000}"/>
  <bookViews>
    <workbookView xWindow="-110" yWindow="-110" windowWidth="19420" windowHeight="1042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42" i="1"/>
  <c r="J17" i="1"/>
  <c r="J32" i="1" l="1"/>
  <c r="L43" i="1"/>
  <c r="J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<sst xmlns="http://schemas.openxmlformats.org/spreadsheetml/2006/main" count="103" uniqueCount="56">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</sst>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2" ht="23" customHeight="1" x14ac:dyDescent="0.55000000000000004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5" customHeight="1" x14ac:dyDescent="0.35">
      <c r="A2" t="s">
        <v>34</v>
      </c>
      <c r="J2" s="44"/>
      <c r="K2" s="45"/>
      <c r="L2" s="46"/>
    </row>
    <row r="3" spans="1:12" x14ac:dyDescent="0.35">
      <c r="A3" t="s">
        <v>15</v>
      </c>
      <c r="B3" s="57">
        <v>45672</v>
      </c>
    </row>
    <row r="4" spans="1:12" x14ac:dyDescent="0.35">
      <c r="A4" t="s">
        <v>20</v>
      </c>
      <c r="B4">
        <v>0</v>
      </c>
    </row>
    <row r="5" spans="1:12" x14ac:dyDescent="0.35">
      <c r="A5" t="s">
        <v>21</v>
      </c>
      <c r="B5" s="2">
        <v>0</v>
      </c>
    </row>
    <row r="6" spans="1:12" x14ac:dyDescent="0.35">
      <c r="A6" s="3" t="s">
        <v>19</v>
      </c>
      <c r="B6" s="38">
        <v>11937456.530000001</v>
      </c>
      <c r="J6" t="s">
        <v>25</v>
      </c>
    </row>
    <row r="7" spans="1:12" x14ac:dyDescent="0.35">
      <c r="J7" s="58">
        <f>(D28+D29)/B6</f>
        <v>0.94899302389334017</v>
      </c>
      <c r="K7" s="19"/>
    </row>
    <row r="8" spans="1:12" ht="15" thickBot="1" x14ac:dyDescent="0.4">
      <c r="A8" s="3" t="s">
        <v>26</v>
      </c>
    </row>
    <row r="9" spans="1:12" s="4" customFormat="1" ht="29.5" thickBot="1" x14ac:dyDescent="0.4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5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1.03054536460695</v>
      </c>
      <c r="H10" s="50">
        <v>77.98</v>
      </c>
      <c r="I10" s="5"/>
      <c r="J10" s="10">
        <f>D10*E10*G10*H10</f>
        <v>6911125.7677562973</v>
      </c>
      <c r="K10" s="55">
        <v>0.59176820912460504</v>
      </c>
      <c r="L10" s="21">
        <f t="shared" ref="L10:L15" si="0">J10/$B$6</f>
        <v>0.578944580898616</v>
      </c>
    </row>
    <row r="11" spans="1:12" x14ac:dyDescent="0.35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1.03054536460695</v>
      </c>
      <c r="H11" s="50">
        <v>80.349999999999994</v>
      </c>
      <c r="I11" s="5"/>
      <c r="J11" s="10">
        <f t="shared" ref="J11:J12" si="1">D11*E11*G11*H11</f>
        <v>662434.56036934745</v>
      </c>
      <c r="K11" s="55">
        <v>5.3850759386157403E-2</v>
      </c>
      <c r="L11" s="21">
        <f t="shared" si="0"/>
        <v>5.5492102417678699E-2</v>
      </c>
    </row>
    <row r="12" spans="1:12" x14ac:dyDescent="0.35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1.2258507404138472</v>
      </c>
      <c r="H12" s="50">
        <v>33.36</v>
      </c>
      <c r="I12" s="5"/>
      <c r="J12" s="10">
        <f t="shared" si="1"/>
        <v>490732.56840247131</v>
      </c>
      <c r="K12" s="55">
        <v>4.1564143495813E-2</v>
      </c>
      <c r="L12" s="21">
        <f t="shared" si="0"/>
        <v>4.1108637101145637E-2</v>
      </c>
    </row>
    <row r="13" spans="1:12" x14ac:dyDescent="0.35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32</v>
      </c>
      <c r="I13" s="5"/>
      <c r="J13" s="10">
        <f>D13*E13*H13</f>
        <v>2016000</v>
      </c>
      <c r="K13" s="55">
        <v>0.17574527800301401</v>
      </c>
      <c r="L13" s="21">
        <f t="shared" si="0"/>
        <v>0.16888019612331939</v>
      </c>
    </row>
    <row r="14" spans="1:12" x14ac:dyDescent="0.35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34</v>
      </c>
      <c r="I14" s="5"/>
      <c r="J14" s="10">
        <f>D14*E14*H14</f>
        <v>544000</v>
      </c>
      <c r="K14" s="55">
        <v>4.40720135954406E-2</v>
      </c>
      <c r="L14" s="21">
        <f t="shared" ref="L14" si="2">J14/$B$6</f>
        <v>4.5570846572959199E-2</v>
      </c>
    </row>
    <row r="15" spans="1:12" x14ac:dyDescent="0.35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22.31</v>
      </c>
      <c r="I15" s="5"/>
      <c r="J15" s="10">
        <f>D15*E15*H15</f>
        <v>535440</v>
      </c>
      <c r="K15" s="55">
        <v>4.6897353643826203E-2</v>
      </c>
      <c r="L15" s="21">
        <f t="shared" si="0"/>
        <v>4.4853775898943522E-2</v>
      </c>
    </row>
    <row r="16" spans="1:12" ht="15" thickBot="1" x14ac:dyDescent="0.4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55.5</v>
      </c>
      <c r="I16" s="12"/>
      <c r="J16" s="14">
        <f>D16*E16*H16</f>
        <v>555000</v>
      </c>
      <c r="K16" s="56">
        <v>4.61022427511424E-2</v>
      </c>
      <c r="L16" s="21">
        <f>J16/$B$6</f>
        <v>4.6492315897044771E-2</v>
      </c>
    </row>
    <row r="17" spans="1:13" ht="15" thickBot="1" x14ac:dyDescent="0.4">
      <c r="J17" s="34">
        <f>SUM(J10:J16)</f>
        <v>11714732.896528115</v>
      </c>
      <c r="K17" s="35">
        <f>SUM(K10:K16)</f>
        <v>0.99999999999999856</v>
      </c>
      <c r="L17" s="36">
        <f>SUM(L10:L16)</f>
        <v>0.98134245490970717</v>
      </c>
    </row>
    <row r="18" spans="1:13" x14ac:dyDescent="0.35">
      <c r="J18" s="19"/>
      <c r="K18" s="19"/>
    </row>
    <row r="19" spans="1:13" x14ac:dyDescent="0.35">
      <c r="J19" s="19"/>
      <c r="K19" s="19"/>
      <c r="L19" s="19"/>
    </row>
    <row r="20" spans="1:13" ht="15" thickBot="1" x14ac:dyDescent="0.4">
      <c r="A20" s="3" t="s">
        <v>12</v>
      </c>
    </row>
    <row r="21" spans="1:13" ht="29.5" thickBot="1" x14ac:dyDescent="0.4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5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1.0321499999999999</v>
      </c>
      <c r="I22" s="23"/>
      <c r="J22" s="7">
        <f>D22*E22*H22</f>
        <v>6450937.4999999991</v>
      </c>
      <c r="K22" s="27">
        <f>SUM(K10:K11)</f>
        <v>0.64561896851076239</v>
      </c>
      <c r="L22" s="25">
        <f>SUM(J22:J24)/$B$6</f>
        <v>0.64926827822884492</v>
      </c>
      <c r="M22" s="19"/>
    </row>
    <row r="23" spans="1:13" x14ac:dyDescent="0.35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1.03054536460695</v>
      </c>
      <c r="H23" s="5"/>
      <c r="I23" s="5"/>
      <c r="J23" s="7">
        <f>D23*G23</f>
        <v>0</v>
      </c>
      <c r="K23" s="27"/>
      <c r="L23" s="25"/>
    </row>
    <row r="24" spans="1:13" ht="15" thickBot="1" x14ac:dyDescent="0.4">
      <c r="A24" s="65" t="s">
        <v>53</v>
      </c>
      <c r="B24" s="13"/>
      <c r="C24" s="13"/>
      <c r="D24" s="53">
        <v>1261152</v>
      </c>
      <c r="E24" s="26">
        <v>1</v>
      </c>
      <c r="F24" s="12" t="s">
        <v>4</v>
      </c>
      <c r="G24" s="62">
        <v>1.03054536460695</v>
      </c>
      <c r="H24" s="12"/>
      <c r="I24" s="12"/>
      <c r="J24" s="14">
        <f>D24*G24</f>
        <v>1299674.3476647842</v>
      </c>
      <c r="K24" s="28"/>
      <c r="L24" s="29"/>
    </row>
    <row r="25" spans="1:13" x14ac:dyDescent="0.35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1.2258507404138472</v>
      </c>
      <c r="H25" s="8"/>
      <c r="I25" s="8"/>
      <c r="J25" s="10">
        <f>D25*G25</f>
        <v>0</v>
      </c>
      <c r="K25" s="70">
        <f>K12</f>
        <v>4.1564143495813E-2</v>
      </c>
      <c r="L25" s="70">
        <f>(SUM(J25:J26))/B6</f>
        <v>3.402594096270585E-2</v>
      </c>
    </row>
    <row r="26" spans="1:13" ht="15" thickBot="1" x14ac:dyDescent="0.4">
      <c r="A26" s="65" t="s">
        <v>55</v>
      </c>
      <c r="B26" s="12"/>
      <c r="C26" s="12"/>
      <c r="D26" s="53">
        <v>331348</v>
      </c>
      <c r="E26" s="26">
        <v>1</v>
      </c>
      <c r="F26" s="12" t="s">
        <v>22</v>
      </c>
      <c r="G26" s="62">
        <v>1.2258507404138472</v>
      </c>
      <c r="H26" s="12"/>
      <c r="I26" s="12"/>
      <c r="J26" s="14">
        <f>D26*G26</f>
        <v>406183.19113464747</v>
      </c>
      <c r="K26" s="28"/>
      <c r="L26" s="28"/>
    </row>
    <row r="27" spans="1:13" x14ac:dyDescent="0.35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-6450937.4999999991</v>
      </c>
      <c r="K27" s="66">
        <f>SUM(K13:K16)</f>
        <v>0.31281688799342322</v>
      </c>
      <c r="L27" s="21">
        <f>SUM(J27:J31)/$B$6</f>
        <v>0.31673758155252268</v>
      </c>
    </row>
    <row r="28" spans="1:13" x14ac:dyDescent="0.35">
      <c r="A28" s="6" t="s">
        <v>13</v>
      </c>
      <c r="B28" s="6"/>
      <c r="C28" s="6"/>
      <c r="D28" s="50">
        <v>1915103.15</v>
      </c>
      <c r="E28" s="24">
        <v>1</v>
      </c>
      <c r="F28" s="8" t="s">
        <v>5</v>
      </c>
      <c r="G28" s="8"/>
      <c r="H28" s="5"/>
      <c r="I28" s="5"/>
      <c r="J28" s="7">
        <f>D28</f>
        <v>1915103.15</v>
      </c>
      <c r="K28" s="5"/>
      <c r="L28" s="5"/>
    </row>
    <row r="29" spans="1:13" x14ac:dyDescent="0.35">
      <c r="A29" s="6" t="s">
        <v>14</v>
      </c>
      <c r="B29" s="6"/>
      <c r="C29" s="6"/>
      <c r="D29" s="50">
        <v>9413459.8200000003</v>
      </c>
      <c r="E29" s="24">
        <v>1</v>
      </c>
      <c r="F29" s="8" t="s">
        <v>5</v>
      </c>
      <c r="G29" s="8"/>
      <c r="H29" s="5"/>
      <c r="I29" s="5"/>
      <c r="J29" s="7">
        <f>D29-J26-J24</f>
        <v>7707602.2812005691</v>
      </c>
      <c r="K29" s="5"/>
      <c r="L29" s="5"/>
    </row>
    <row r="30" spans="1:13" x14ac:dyDescent="0.35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4">
      <c r="A31" s="13" t="s">
        <v>23</v>
      </c>
      <c r="B31" s="13"/>
      <c r="C31" s="13"/>
      <c r="D31" s="31">
        <v>609273.18000000005</v>
      </c>
      <c r="E31" s="26">
        <v>1</v>
      </c>
      <c r="F31" s="12" t="s">
        <v>5</v>
      </c>
      <c r="G31" s="12"/>
      <c r="H31" s="12"/>
      <c r="I31" s="12"/>
      <c r="J31" s="14">
        <f>D31</f>
        <v>609273.18000000005</v>
      </c>
      <c r="K31" s="12"/>
      <c r="L31" s="12"/>
    </row>
    <row r="32" spans="1:13" ht="15" thickBot="1" x14ac:dyDescent="0.4">
      <c r="A32" s="1"/>
      <c r="B32" s="1"/>
      <c r="C32" s="1"/>
      <c r="D32" s="37"/>
      <c r="E32" s="1"/>
      <c r="J32" s="34">
        <f>SUM(J22:J31)</f>
        <v>11937836.15</v>
      </c>
      <c r="K32" s="43">
        <f>SUM(K22:K31)</f>
        <v>0.99999999999999867</v>
      </c>
      <c r="L32" s="43">
        <f>SUM(L22:L31)</f>
        <v>1.0000318007440734</v>
      </c>
    </row>
    <row r="33" spans="1:12" x14ac:dyDescent="0.35">
      <c r="A33" s="1"/>
      <c r="B33" s="37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3" t="s">
        <v>16</v>
      </c>
    </row>
    <row r="36" spans="1:12" ht="29.5" thickBot="1" x14ac:dyDescent="0.4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5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1.0321499999999999</v>
      </c>
      <c r="I37" s="23"/>
      <c r="J37" s="7">
        <f>J22</f>
        <v>6450937.4999999991</v>
      </c>
      <c r="K37" s="27">
        <f>SUM(K10:K11)</f>
        <v>0.64561896851076239</v>
      </c>
      <c r="L37" s="25">
        <f>SUM(J37:J39)/$B$6</f>
        <v>0.64926827822884492</v>
      </c>
    </row>
    <row r="38" spans="1:12" x14ac:dyDescent="0.35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4">
      <c r="A39" s="12" t="s">
        <v>53</v>
      </c>
      <c r="B39" s="12"/>
      <c r="C39" s="12"/>
      <c r="D39" s="30">
        <v>1261152</v>
      </c>
      <c r="E39" s="26"/>
      <c r="F39" s="12" t="s">
        <v>4</v>
      </c>
      <c r="G39" s="12"/>
      <c r="H39" s="12"/>
      <c r="I39" s="12"/>
      <c r="J39" s="30">
        <f>J24</f>
        <v>1299674.3476647842</v>
      </c>
      <c r="K39" s="28"/>
      <c r="L39" s="29"/>
    </row>
    <row r="40" spans="1:12" x14ac:dyDescent="0.35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4.1564143495813E-2</v>
      </c>
      <c r="L40" s="70">
        <f>(SUM(J40:J41))/$B$6</f>
        <v>3.402594096270585E-2</v>
      </c>
    </row>
    <row r="41" spans="1:12" ht="15" thickBot="1" x14ac:dyDescent="0.4">
      <c r="A41" s="12" t="s">
        <v>55</v>
      </c>
      <c r="B41" s="12"/>
      <c r="C41" s="12"/>
      <c r="D41" s="30">
        <v>331348</v>
      </c>
      <c r="E41" s="26"/>
      <c r="F41" s="12" t="s">
        <v>22</v>
      </c>
      <c r="G41" s="12"/>
      <c r="H41" s="12"/>
      <c r="I41" s="12"/>
      <c r="J41" s="30">
        <f>J26</f>
        <v>406183.19113464747</v>
      </c>
      <c r="K41" s="28"/>
      <c r="L41" s="28"/>
    </row>
    <row r="42" spans="1:12" ht="15" thickBot="1" x14ac:dyDescent="0.4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3781041.1112005697</v>
      </c>
      <c r="K42" s="72">
        <f>K27</f>
        <v>0.31281688799342322</v>
      </c>
      <c r="L42" s="72">
        <f>L27</f>
        <v>0.31673758155252268</v>
      </c>
    </row>
    <row r="43" spans="1:12" ht="15" thickBot="1" x14ac:dyDescent="0.4">
      <c r="A43" s="1"/>
      <c r="B43" s="1"/>
      <c r="C43" s="1"/>
      <c r="D43" s="1"/>
      <c r="E43" s="1"/>
      <c r="J43" s="34">
        <f>SUM(J37:J42)</f>
        <v>11937836.15</v>
      </c>
      <c r="K43" s="43">
        <f>SUM(K37:K42)</f>
        <v>0.99999999999999867</v>
      </c>
      <c r="L43" s="43">
        <f>SUM(L37:L42)</f>
        <v>1.0000318007440734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2025-01-16T14:18:19Z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