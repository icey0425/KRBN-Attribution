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7" documentId="8_{24F8F7B4-2934-4B29-A121-C7485031B96C}" xr6:coauthVersionLast="47" xr6:coauthVersionMax="47" xr10:uidLastSave="{82963450-7272-484F-9139-E53E65177CC6}"/>
  <bookViews>
    <workbookView xWindow="29775" yWindow="627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9" i="1" l="1"/>
  <c r="K36" i="1"/>
  <c r="J30" i="1"/>
  <c r="J27" i="1"/>
  <c r="K26" i="1"/>
  <c r="K41" i="1" s="1"/>
  <c r="J25" i="1"/>
  <c r="J40" i="1" s="1"/>
  <c r="K24" i="1"/>
  <c r="J24" i="1"/>
  <c r="J23" i="1"/>
  <c r="J38" i="1" s="1"/>
  <c r="J22" i="1"/>
  <c r="J37" i="1" s="1"/>
  <c r="K21" i="1"/>
  <c r="J21" i="1"/>
  <c r="J36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1" i="1" l="1"/>
  <c r="J16" i="1"/>
  <c r="L24" i="1"/>
  <c r="J28" i="1"/>
  <c r="J39" i="1"/>
  <c r="L39" i="1" s="1"/>
  <c r="L10" i="1"/>
  <c r="L16" i="1" s="1"/>
  <c r="K42" i="1"/>
  <c r="L36" i="1"/>
  <c r="J26" i="1"/>
  <c r="L21" i="1"/>
  <c r="J31" i="1" l="1"/>
  <c r="J41" i="1"/>
  <c r="J42" i="1" s="1"/>
  <c r="L26" i="1"/>
  <c r="L41" i="1" s="1"/>
  <c r="L42" i="1" s="1"/>
  <c r="L31" i="1" l="1"/>
</calcChain>
</file>

<file path=xl/sharedStrings.xml><?xml version="1.0" encoding="utf-8"?>
<sst xmlns="http://schemas.openxmlformats.org/spreadsheetml/2006/main" count="99" uniqueCount="53">
  <si>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</si>
  <si>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</si>
  <si>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</si>
  <si>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</si>
  <si>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</si>
  <si>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</si>
  <si>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</si>
  <si>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</si>
  <si>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</si>
  <si>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</si>
  <si>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</si>
  <si>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</si>
  <si>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</si>
  <si>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</si>
  <si>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</si>
  <si>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</si>
  <si>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</si>
  <si>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</si>
  <si>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</si>
  <si>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</si>
  <si>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</si>
  <si>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</si>
  <si>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</si>
  <si>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</si>
  <si>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</si>
  <si>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</si>
  <si>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</si>
  <si>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</si>
  <si>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</si>
  <si>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</si>
  <si>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</si>
  <si>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</si>
  <si>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</si>
  <si>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</si>
  <si>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</si>
  <si>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WCA 25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</si>
  <si>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</si>
  <si>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</si>
  <si>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</si>
  <si>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</si>
  <si>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</si>
  <si>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</si>
  <si>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</si>
  <si>
    <t>EUA 27</t>
  </si>
  <si>
    <t>MOZ27 Comdty</t>
  </si>
  <si>
    <t>ICE ECX Emission  Dec27</t>
  </si>
  <si>
    <t>UKA 26</t>
  </si>
  <si>
    <t>UKEZ6 Comdty</t>
  </si>
  <si>
    <t>UK Emission Allow Dec26</t>
  </si>
  <si>
    <t>RGGI 26</t>
  </si>
  <si>
    <t>RGYZ26 Comdty</t>
  </si>
  <si>
    <t>Reg GH Gas Vnt 26 Dec26</t>
  </si>
  <si>
    <t>WKDZ25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</si>
</sst>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2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45992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10022329.190000001</v>
      </c>
      <c r="J6" t="s">
        <v>25</v>
      </c>
    </row>
    <row r="7" spans="1:12" x14ac:dyDescent="0.3">
      <c r="J7" s="57">
        <f>(D27+D28)/B6</f>
        <v>0.97965200542370123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56</v>
      </c>
      <c r="E10" s="46">
        <v>1000</v>
      </c>
      <c r="F10" s="4" t="s">
        <v>4</v>
      </c>
      <c r="G10" s="62">
        <v>1.1629935</v>
      </c>
      <c r="H10" s="49">
        <v>84.86</v>
      </c>
      <c r="I10" s="4"/>
      <c r="J10" s="9">
        <f>D10*E10*G10*H10</f>
        <v>5526731.1909600003</v>
      </c>
      <c r="K10" s="54">
        <v>0.59872687088433807</v>
      </c>
      <c r="L10" s="20">
        <f t="shared" ref="L10:L14" si="0">J10/$B$6</f>
        <v>0.55144179423625572</v>
      </c>
    </row>
    <row r="11" spans="1:12" x14ac:dyDescent="0.3">
      <c r="A11" s="4" t="s">
        <v>43</v>
      </c>
      <c r="B11" s="5" t="s">
        <v>44</v>
      </c>
      <c r="C11" s="8" t="s">
        <v>45</v>
      </c>
      <c r="D11" s="48">
        <v>5</v>
      </c>
      <c r="E11" s="46">
        <v>1000</v>
      </c>
      <c r="F11" s="4" t="s">
        <v>4</v>
      </c>
      <c r="G11" s="62">
        <v>1.1629935</v>
      </c>
      <c r="H11" s="49">
        <v>87.32</v>
      </c>
      <c r="I11" s="4"/>
      <c r="J11" s="9">
        <f t="shared" ref="J11:J12" si="1">D11*E11*G11*H11</f>
        <v>507762.96209999995</v>
      </c>
      <c r="K11" s="54"/>
      <c r="L11" s="20">
        <f t="shared" si="0"/>
        <v>5.0663169456320753E-2</v>
      </c>
    </row>
    <row r="12" spans="1:12" x14ac:dyDescent="0.3">
      <c r="A12" s="4" t="s">
        <v>46</v>
      </c>
      <c r="B12" s="5" t="s">
        <v>47</v>
      </c>
      <c r="C12" s="8" t="s">
        <v>48</v>
      </c>
      <c r="D12" s="48">
        <v>6</v>
      </c>
      <c r="E12" s="46">
        <v>1000</v>
      </c>
      <c r="F12" s="4" t="s">
        <v>22</v>
      </c>
      <c r="G12" s="62">
        <v>1.3252581000000001</v>
      </c>
      <c r="H12" s="49">
        <v>59.05</v>
      </c>
      <c r="I12" s="4"/>
      <c r="J12" s="9">
        <f t="shared" si="1"/>
        <v>469538.94483000005</v>
      </c>
      <c r="K12" s="54">
        <v>4.8608696264405865E-2</v>
      </c>
      <c r="L12" s="20">
        <f t="shared" si="0"/>
        <v>4.6849283827006281E-2</v>
      </c>
    </row>
    <row r="13" spans="1:12" x14ac:dyDescent="0.3">
      <c r="A13" s="4" t="s">
        <v>32</v>
      </c>
      <c r="B13" s="5" t="s">
        <v>33</v>
      </c>
      <c r="C13" s="8" t="s">
        <v>34</v>
      </c>
      <c r="D13" s="48">
        <v>73</v>
      </c>
      <c r="E13" s="46">
        <v>1000</v>
      </c>
      <c r="F13" s="4" t="s">
        <v>5</v>
      </c>
      <c r="G13" s="47"/>
      <c r="H13" s="49">
        <v>30.83</v>
      </c>
      <c r="I13" s="4"/>
      <c r="J13" s="9">
        <f>D13*E13*H13</f>
        <v>2250590</v>
      </c>
      <c r="K13" s="54">
        <v>0.2489268760402519</v>
      </c>
      <c r="L13" s="20">
        <f t="shared" si="0"/>
        <v>0.22455758111054419</v>
      </c>
    </row>
    <row r="14" spans="1:12" x14ac:dyDescent="0.3">
      <c r="A14" s="4" t="s">
        <v>49</v>
      </c>
      <c r="B14" s="5" t="s">
        <v>50</v>
      </c>
      <c r="C14" s="8" t="s">
        <v>51</v>
      </c>
      <c r="D14" s="48">
        <v>21</v>
      </c>
      <c r="E14" s="46">
        <v>1000</v>
      </c>
      <c r="F14" s="4" t="s">
        <v>5</v>
      </c>
      <c r="G14" s="4"/>
      <c r="H14" s="49">
        <v>29.18</v>
      </c>
      <c r="I14" s="4"/>
      <c r="J14" s="9">
        <f>D14*E14*H14</f>
        <v>612780</v>
      </c>
      <c r="K14" s="54">
        <v>5.0312807695718602E-2</v>
      </c>
      <c r="L14" s="20">
        <f t="shared" si="0"/>
        <v>6.1141476036470112E-2</v>
      </c>
    </row>
    <row r="15" spans="1:12" ht="15" thickBot="1" x14ac:dyDescent="0.35">
      <c r="A15" s="11" t="s">
        <v>35</v>
      </c>
      <c r="B15" s="12" t="s">
        <v>52</v>
      </c>
      <c r="C15" s="12" t="s">
        <v>36</v>
      </c>
      <c r="D15" s="50">
        <v>7</v>
      </c>
      <c r="E15" s="51">
        <v>1000</v>
      </c>
      <c r="F15" s="11" t="s">
        <v>5</v>
      </c>
      <c r="G15" s="11"/>
      <c r="H15" s="52">
        <v>72.510000000000005</v>
      </c>
      <c r="I15" s="11"/>
      <c r="J15" s="13">
        <f>D15*E15*H15</f>
        <v>507570.00000000006</v>
      </c>
      <c r="K15" s="55">
        <v>5.3424749115284602E-2</v>
      </c>
      <c r="L15" s="20">
        <f>J15/$B$6</f>
        <v>5.0643916237199549E-2</v>
      </c>
    </row>
    <row r="16" spans="1:12" ht="15" thickBot="1" x14ac:dyDescent="0.35">
      <c r="J16" s="33">
        <f>SUM(J10:J15)</f>
        <v>9874973.0978900008</v>
      </c>
      <c r="K16" s="34">
        <f>SUM(K10:K15)</f>
        <v>0.999999999999999</v>
      </c>
      <c r="L16" s="35">
        <f>SUM(L10:L15)</f>
        <v>0.98529722090379657</v>
      </c>
    </row>
    <row r="17" spans="1:13" x14ac:dyDescent="0.3">
      <c r="J17" s="18"/>
      <c r="K17" s="18"/>
    </row>
    <row r="18" spans="1:13" x14ac:dyDescent="0.3">
      <c r="J18" s="18"/>
      <c r="K18" s="18"/>
      <c r="L18" s="18"/>
    </row>
    <row r="19" spans="1:13" ht="15" thickBot="1" x14ac:dyDescent="0.35">
      <c r="A19" s="2" t="s">
        <v>12</v>
      </c>
    </row>
    <row r="20" spans="1:13" ht="29.4" thickBot="1" x14ac:dyDescent="0.35">
      <c r="A20" s="15"/>
      <c r="B20" s="16" t="s">
        <v>7</v>
      </c>
      <c r="C20" s="16" t="s">
        <v>0</v>
      </c>
      <c r="D20" s="10" t="s">
        <v>18</v>
      </c>
      <c r="E20" s="10" t="s">
        <v>9</v>
      </c>
      <c r="F20" s="10" t="s">
        <v>3</v>
      </c>
      <c r="G20" s="10"/>
      <c r="H20" s="10" t="s">
        <v>6</v>
      </c>
      <c r="I20" s="17"/>
      <c r="J20" s="14" t="s">
        <v>17</v>
      </c>
      <c r="K20" s="19" t="s">
        <v>11</v>
      </c>
      <c r="L20" s="19" t="s">
        <v>10</v>
      </c>
    </row>
    <row r="21" spans="1:13" x14ac:dyDescent="0.3">
      <c r="A21" s="4" t="s">
        <v>8</v>
      </c>
      <c r="B21" s="5" t="s">
        <v>41</v>
      </c>
      <c r="C21" s="5" t="s">
        <v>42</v>
      </c>
      <c r="D21" s="48">
        <v>30</v>
      </c>
      <c r="E21" s="46">
        <v>125000</v>
      </c>
      <c r="F21" s="4" t="s">
        <v>5</v>
      </c>
      <c r="G21" s="22"/>
      <c r="H21" s="53">
        <v>1.1617500000000001</v>
      </c>
      <c r="I21" s="22"/>
      <c r="J21" s="6">
        <f>D21*E21*H21</f>
        <v>4356562.5</v>
      </c>
      <c r="K21" s="26">
        <f>SUM(K10:K11)</f>
        <v>0.59872687088433807</v>
      </c>
      <c r="L21" s="24">
        <f>SUM(J21:J23)/$B$6</f>
        <v>0.59324905232553027</v>
      </c>
      <c r="M21" s="18"/>
    </row>
    <row r="22" spans="1:13" x14ac:dyDescent="0.3">
      <c r="A22" s="4" t="s">
        <v>37</v>
      </c>
      <c r="B22" s="5"/>
      <c r="C22" s="5"/>
      <c r="D22" s="49"/>
      <c r="E22" s="60">
        <v>1</v>
      </c>
      <c r="F22" s="4" t="s">
        <v>4</v>
      </c>
      <c r="G22" s="66">
        <v>1.1629935</v>
      </c>
      <c r="H22" s="4"/>
      <c r="I22" s="4"/>
      <c r="J22" s="6">
        <f>D22*G22</f>
        <v>0</v>
      </c>
      <c r="K22" s="26"/>
      <c r="L22" s="24"/>
    </row>
    <row r="23" spans="1:13" ht="15" thickBot="1" x14ac:dyDescent="0.35">
      <c r="A23" s="64" t="s">
        <v>38</v>
      </c>
      <c r="B23" s="12"/>
      <c r="C23" s="12"/>
      <c r="D23" s="52">
        <v>1366452</v>
      </c>
      <c r="E23" s="25">
        <v>1</v>
      </c>
      <c r="F23" s="11" t="s">
        <v>4</v>
      </c>
      <c r="G23" s="61">
        <v>1.1629935</v>
      </c>
      <c r="H23" s="11"/>
      <c r="I23" s="11"/>
      <c r="J23" s="13">
        <f>D23*G23</f>
        <v>1589174.794062</v>
      </c>
      <c r="K23" s="27"/>
      <c r="L23" s="28"/>
    </row>
    <row r="24" spans="1:13" x14ac:dyDescent="0.3">
      <c r="A24" s="7" t="s">
        <v>39</v>
      </c>
      <c r="B24" s="7"/>
      <c r="C24" s="7"/>
      <c r="D24" s="67"/>
      <c r="E24" s="23">
        <v>1</v>
      </c>
      <c r="F24" s="7" t="s">
        <v>22</v>
      </c>
      <c r="G24" s="68">
        <v>1.3252581000000001</v>
      </c>
      <c r="H24" s="7"/>
      <c r="I24" s="7"/>
      <c r="J24" s="9">
        <f>D24*G24</f>
        <v>0</v>
      </c>
      <c r="K24" s="69">
        <f>K12</f>
        <v>4.8608696264405865E-2</v>
      </c>
      <c r="L24" s="69">
        <f>(SUM(J24:J25))/B6</f>
        <v>4.5749786804647946E-2</v>
      </c>
    </row>
    <row r="25" spans="1:13" ht="15" thickBot="1" x14ac:dyDescent="0.35">
      <c r="A25" s="64" t="s">
        <v>40</v>
      </c>
      <c r="B25" s="11"/>
      <c r="C25" s="11"/>
      <c r="D25" s="52">
        <v>345985</v>
      </c>
      <c r="E25" s="25">
        <v>1</v>
      </c>
      <c r="F25" s="11" t="s">
        <v>22</v>
      </c>
      <c r="G25" s="61">
        <v>1.3252581000000001</v>
      </c>
      <c r="H25" s="11"/>
      <c r="I25" s="11"/>
      <c r="J25" s="13">
        <f>D25*G25</f>
        <v>458519.42372850003</v>
      </c>
      <c r="K25" s="27"/>
      <c r="L25" s="27"/>
    </row>
    <row r="26" spans="1:13" x14ac:dyDescent="0.3">
      <c r="A26" s="7" t="s">
        <v>8</v>
      </c>
      <c r="B26" s="8" t="s">
        <v>41</v>
      </c>
      <c r="C26" s="8" t="s">
        <v>42</v>
      </c>
      <c r="D26" s="46">
        <v>-30</v>
      </c>
      <c r="E26" s="23">
        <v>-125000</v>
      </c>
      <c r="F26" s="7" t="s">
        <v>5</v>
      </c>
      <c r="G26" s="7"/>
      <c r="H26" s="7"/>
      <c r="I26" s="7"/>
      <c r="J26" s="9">
        <f>-J21</f>
        <v>-4356562.5</v>
      </c>
      <c r="K26" s="65">
        <f>SUM(K13:K15)</f>
        <v>0.35266443285125509</v>
      </c>
      <c r="L26" s="20">
        <f>SUM(J26:J30)/$B$6</f>
        <v>0.36046157771529957</v>
      </c>
    </row>
    <row r="27" spans="1:13" x14ac:dyDescent="0.3">
      <c r="A27" s="5" t="s">
        <v>13</v>
      </c>
      <c r="B27" s="5"/>
      <c r="C27" s="5"/>
      <c r="D27" s="49">
        <v>1271143.82</v>
      </c>
      <c r="E27" s="23">
        <v>1</v>
      </c>
      <c r="F27" s="7" t="s">
        <v>5</v>
      </c>
      <c r="G27" s="7"/>
      <c r="H27" s="4"/>
      <c r="I27" s="4"/>
      <c r="J27" s="6">
        <f>D27</f>
        <v>1271143.82</v>
      </c>
      <c r="K27" s="4"/>
      <c r="L27" s="4"/>
    </row>
    <row r="28" spans="1:13" x14ac:dyDescent="0.3">
      <c r="A28" s="5" t="s">
        <v>14</v>
      </c>
      <c r="B28" s="5"/>
      <c r="C28" s="5"/>
      <c r="D28" s="49">
        <v>8547251.0700000003</v>
      </c>
      <c r="E28" s="23">
        <v>1</v>
      </c>
      <c r="F28" s="7" t="s">
        <v>5</v>
      </c>
      <c r="G28" s="7"/>
      <c r="H28" s="4"/>
      <c r="I28" s="4"/>
      <c r="J28" s="6">
        <f>D28-J25-J23</f>
        <v>6499556.852209501</v>
      </c>
      <c r="K28" s="4"/>
      <c r="L28" s="4"/>
    </row>
    <row r="29" spans="1:13" x14ac:dyDescent="0.3">
      <c r="A29" s="38"/>
      <c r="B29" s="38"/>
      <c r="C29" s="38"/>
      <c r="D29" s="58"/>
      <c r="E29" s="60"/>
      <c r="F29" s="4"/>
      <c r="G29" s="4"/>
      <c r="H29" s="22"/>
      <c r="I29" s="22"/>
      <c r="J29" s="59"/>
      <c r="K29" s="22"/>
      <c r="L29" s="22"/>
    </row>
    <row r="30" spans="1:13" ht="15" thickBot="1" x14ac:dyDescent="0.35">
      <c r="A30" s="12" t="s">
        <v>23</v>
      </c>
      <c r="B30" s="12"/>
      <c r="C30" s="12"/>
      <c r="D30" s="30">
        <v>198526.42</v>
      </c>
      <c r="E30" s="25">
        <v>1</v>
      </c>
      <c r="F30" s="11" t="s">
        <v>5</v>
      </c>
      <c r="G30" s="11"/>
      <c r="H30" s="11"/>
      <c r="I30" s="11"/>
      <c r="J30" s="13">
        <f>D30</f>
        <v>198526.42</v>
      </c>
      <c r="K30" s="11"/>
      <c r="L30" s="11"/>
    </row>
    <row r="31" spans="1:13" ht="15" thickBot="1" x14ac:dyDescent="0.35">
      <c r="A31" s="1"/>
      <c r="B31" s="1"/>
      <c r="C31" s="1"/>
      <c r="D31" s="36"/>
      <c r="E31" s="1"/>
      <c r="J31" s="33">
        <f>SUM(J21:J30)</f>
        <v>10016921.310000001</v>
      </c>
      <c r="K31" s="42">
        <f>SUM(K21:K30)</f>
        <v>0.99999999999999911</v>
      </c>
      <c r="L31" s="42">
        <f>SUM(L21:L30)</f>
        <v>0.99946041684547771</v>
      </c>
    </row>
    <row r="32" spans="1:13" x14ac:dyDescent="0.3">
      <c r="A32" s="1"/>
      <c r="B32" s="36"/>
      <c r="C32" s="1"/>
      <c r="D32" s="1"/>
      <c r="E32" s="1"/>
    </row>
    <row r="33" spans="1:12" x14ac:dyDescent="0.3">
      <c r="A33" s="1"/>
      <c r="B33" s="1"/>
      <c r="C33" s="1"/>
      <c r="D33" s="1"/>
      <c r="E33" s="1"/>
    </row>
    <row r="34" spans="1:12" ht="15" thickBot="1" x14ac:dyDescent="0.35">
      <c r="A34" s="2" t="s">
        <v>16</v>
      </c>
    </row>
    <row r="35" spans="1:12" ht="29.4" thickBot="1" x14ac:dyDescent="0.35">
      <c r="A35" s="15"/>
      <c r="B35" s="16" t="s">
        <v>7</v>
      </c>
      <c r="C35" s="16" t="s">
        <v>0</v>
      </c>
      <c r="D35" s="10" t="s">
        <v>18</v>
      </c>
      <c r="E35" s="10" t="s">
        <v>9</v>
      </c>
      <c r="F35" s="10" t="s">
        <v>3</v>
      </c>
      <c r="G35" s="10"/>
      <c r="H35" s="10" t="s">
        <v>6</v>
      </c>
      <c r="I35" s="17"/>
      <c r="J35" s="14" t="s">
        <v>17</v>
      </c>
      <c r="K35" s="19" t="s">
        <v>11</v>
      </c>
      <c r="L35" s="19" t="s">
        <v>10</v>
      </c>
    </row>
    <row r="36" spans="1:12" x14ac:dyDescent="0.3">
      <c r="A36" s="22" t="s">
        <v>8</v>
      </c>
      <c r="B36" s="38" t="s">
        <v>41</v>
      </c>
      <c r="C36" s="38" t="s">
        <v>42</v>
      </c>
      <c r="D36" s="23">
        <v>30</v>
      </c>
      <c r="E36" s="23">
        <v>125000</v>
      </c>
      <c r="F36" s="4" t="s">
        <v>5</v>
      </c>
      <c r="G36" s="22"/>
      <c r="H36" s="31">
        <v>1.1617500000000001</v>
      </c>
      <c r="I36" s="22"/>
      <c r="J36" s="6">
        <f>J21</f>
        <v>4356562.5</v>
      </c>
      <c r="K36" s="26">
        <f>SUM(K10:K11)</f>
        <v>0.59872687088433807</v>
      </c>
      <c r="L36" s="24">
        <f>SUM(J36:J38)/$B$6</f>
        <v>0.59324905232553027</v>
      </c>
    </row>
    <row r="37" spans="1:12" x14ac:dyDescent="0.3">
      <c r="A37" s="4" t="s">
        <v>37</v>
      </c>
      <c r="B37" s="4"/>
      <c r="C37" s="4"/>
      <c r="D37" s="72">
        <v>0</v>
      </c>
      <c r="E37" s="60"/>
      <c r="F37" s="4" t="s">
        <v>4</v>
      </c>
      <c r="G37" s="4"/>
      <c r="H37" s="4"/>
      <c r="I37" s="4"/>
      <c r="J37" s="72">
        <f>J22</f>
        <v>0</v>
      </c>
      <c r="K37" s="26"/>
      <c r="L37" s="24"/>
    </row>
    <row r="38" spans="1:12" ht="15" thickBot="1" x14ac:dyDescent="0.35">
      <c r="A38" s="11" t="s">
        <v>38</v>
      </c>
      <c r="B38" s="11"/>
      <c r="C38" s="11"/>
      <c r="D38" s="29">
        <v>1366452</v>
      </c>
      <c r="E38" s="25"/>
      <c r="F38" s="11" t="s">
        <v>4</v>
      </c>
      <c r="G38" s="11"/>
      <c r="H38" s="11"/>
      <c r="I38" s="11"/>
      <c r="J38" s="29">
        <f>J23</f>
        <v>1589174.794062</v>
      </c>
      <c r="K38" s="27"/>
      <c r="L38" s="28"/>
    </row>
    <row r="39" spans="1:12" x14ac:dyDescent="0.3">
      <c r="A39" s="7" t="s">
        <v>39</v>
      </c>
      <c r="B39" s="7"/>
      <c r="C39" s="7"/>
      <c r="D39" s="73">
        <v>0</v>
      </c>
      <c r="E39" s="23"/>
      <c r="F39" s="7" t="s">
        <v>22</v>
      </c>
      <c r="G39" s="7"/>
      <c r="H39" s="7"/>
      <c r="I39" s="7"/>
      <c r="J39" s="73">
        <f>J24</f>
        <v>0</v>
      </c>
      <c r="K39" s="69">
        <f>K12</f>
        <v>4.8608696264405865E-2</v>
      </c>
      <c r="L39" s="69">
        <f>(SUM(J39:J40))/$B$6</f>
        <v>4.5749786804647946E-2</v>
      </c>
    </row>
    <row r="40" spans="1:12" ht="15" thickBot="1" x14ac:dyDescent="0.35">
      <c r="A40" s="11" t="s">
        <v>40</v>
      </c>
      <c r="B40" s="11"/>
      <c r="C40" s="11"/>
      <c r="D40" s="29">
        <v>345985</v>
      </c>
      <c r="E40" s="25"/>
      <c r="F40" s="11" t="s">
        <v>22</v>
      </c>
      <c r="G40" s="11"/>
      <c r="H40" s="11"/>
      <c r="I40" s="11"/>
      <c r="J40" s="29">
        <f>J25</f>
        <v>458519.42372850003</v>
      </c>
      <c r="K40" s="27"/>
      <c r="L40" s="27"/>
    </row>
    <row r="41" spans="1:12" ht="15" thickBot="1" x14ac:dyDescent="0.35">
      <c r="A41" s="63" t="s">
        <v>24</v>
      </c>
      <c r="B41" s="63"/>
      <c r="C41" s="63"/>
      <c r="D41" s="70"/>
      <c r="E41" s="40"/>
      <c r="F41" s="39" t="s">
        <v>5</v>
      </c>
      <c r="G41" s="39"/>
      <c r="H41" s="39"/>
      <c r="I41" s="39"/>
      <c r="J41" s="41">
        <f>SUM(J26,J27,J28,J30)</f>
        <v>3612664.5922095012</v>
      </c>
      <c r="K41" s="71">
        <f>K26</f>
        <v>0.35266443285125509</v>
      </c>
      <c r="L41" s="71">
        <f>L26</f>
        <v>0.36046157771529957</v>
      </c>
    </row>
    <row r="42" spans="1:12" ht="15" thickBot="1" x14ac:dyDescent="0.35">
      <c r="A42" s="1"/>
      <c r="B42" s="1"/>
      <c r="C42" s="1"/>
      <c r="D42" s="1"/>
      <c r="E42" s="1"/>
      <c r="J42" s="33">
        <f>SUM(J36:J41)</f>
        <v>10016921.310000001</v>
      </c>
      <c r="K42" s="42">
        <f>SUM(K36:K41)</f>
        <v>0.99999999999999911</v>
      </c>
      <c r="L42" s="42">
        <f>SUM(L36:L41)</f>
        <v>0.99946041684547771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2025-12-02T13:39:50Z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