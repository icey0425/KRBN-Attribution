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F3FFBB9F-316A-4342-B27C-45C24875FD75}" xr6:coauthVersionLast="47" xr6:coauthVersionMax="47" xr10:uidLastSave="{DFE34656-EB5F-43BE-BF41-6993448CE7EE}"/>
  <bookViews>
    <workbookView xWindow="30045" yWindow="4860" windowWidth="22095" windowHeight="948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8" i="1" l="1"/>
  <c r="K35" i="1"/>
  <c r="J29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<sst xmlns="http://schemas.openxmlformats.org/spreadsheetml/2006/main" count="95" uniqueCount="50">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</sst>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46003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10212563.890000001</v>
      </c>
      <c r="J6" t="s">
        <v>25</v>
      </c>
    </row>
    <row r="7" spans="1:12" x14ac:dyDescent="0.3">
      <c r="J7" s="57">
        <f>(D26+D27)/B6</f>
        <v>0.98154179479018178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60</v>
      </c>
      <c r="E10" s="46">
        <v>1000</v>
      </c>
      <c r="F10" s="4" t="s">
        <v>4</v>
      </c>
      <c r="G10" s="62">
        <v>1.1738466956215519</v>
      </c>
      <c r="H10" s="49">
        <v>86.04</v>
      </c>
      <c r="I10" s="4"/>
      <c r="J10" s="9">
        <f>D10*E10*G10*H10</f>
        <v>6059866.1814766992</v>
      </c>
      <c r="K10" s="54">
        <v>0.60103924888228</v>
      </c>
      <c r="L10" s="20">
        <f t="shared" ref="L10:L13" si="0">J10/$B$6</f>
        <v>0.59337363729106607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6</v>
      </c>
      <c r="E11" s="46">
        <v>1000</v>
      </c>
      <c r="F11" s="4" t="s">
        <v>22</v>
      </c>
      <c r="G11" s="62">
        <v>1.335452250904769</v>
      </c>
      <c r="H11" s="49">
        <v>58.3</v>
      </c>
      <c r="I11" s="4"/>
      <c r="J11" s="9">
        <f t="shared" ref="J11" si="1">D11*E11*G11*H11</f>
        <v>467141.19736648822</v>
      </c>
      <c r="K11" s="54">
        <v>4.7453473945805E-2</v>
      </c>
      <c r="L11" s="20">
        <f t="shared" si="0"/>
        <v>4.5741813945850203E-2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78</v>
      </c>
      <c r="E12" s="46">
        <v>1000</v>
      </c>
      <c r="F12" s="4" t="s">
        <v>5</v>
      </c>
      <c r="G12" s="47"/>
      <c r="H12" s="49">
        <v>32</v>
      </c>
      <c r="I12" s="4"/>
      <c r="J12" s="9">
        <f>D12*E12*H12</f>
        <v>2496000</v>
      </c>
      <c r="K12" s="54">
        <v>0.25339150721506398</v>
      </c>
      <c r="L12" s="20">
        <f t="shared" si="0"/>
        <v>0.24440483573807045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18</v>
      </c>
      <c r="E13" s="46">
        <v>1000</v>
      </c>
      <c r="F13" s="4" t="s">
        <v>5</v>
      </c>
      <c r="G13" s="4"/>
      <c r="H13" s="49">
        <v>26.6</v>
      </c>
      <c r="I13" s="4"/>
      <c r="J13" s="9">
        <f>D13*E13*H13</f>
        <v>478800</v>
      </c>
      <c r="K13" s="54">
        <v>4.4964688800734301E-2</v>
      </c>
      <c r="L13" s="20">
        <f t="shared" si="0"/>
        <v>4.6883427624754864E-2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7</v>
      </c>
      <c r="E14" s="51">
        <v>1000</v>
      </c>
      <c r="F14" s="11" t="s">
        <v>5</v>
      </c>
      <c r="G14" s="11"/>
      <c r="H14" s="52">
        <v>73.5</v>
      </c>
      <c r="I14" s="11"/>
      <c r="J14" s="13">
        <f>D14*E14*H14</f>
        <v>514500</v>
      </c>
      <c r="K14" s="55">
        <v>5.31510811561157E-2</v>
      </c>
      <c r="L14" s="20">
        <f>J14/$B$6</f>
        <v>5.0379121789758514E-2</v>
      </c>
    </row>
    <row r="15" spans="1:12" ht="15" thickBot="1" x14ac:dyDescent="0.35">
      <c r="J15" s="33">
        <f>SUM(J10:J14)</f>
        <v>10016307.378843188</v>
      </c>
      <c r="K15" s="34">
        <f>SUM(K10:K14)</f>
        <v>0.999999999999999</v>
      </c>
      <c r="L15" s="35">
        <f>SUM(L10:L14)</f>
        <v>0.98078283638950015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30</v>
      </c>
      <c r="E20" s="46">
        <v>125000</v>
      </c>
      <c r="F20" s="4" t="s">
        <v>5</v>
      </c>
      <c r="G20" s="22"/>
      <c r="H20" s="53">
        <v>1.1794</v>
      </c>
      <c r="I20" s="22"/>
      <c r="J20" s="6">
        <f>D20*E20*H20</f>
        <v>4422750</v>
      </c>
      <c r="K20" s="26">
        <f>SUM(K10:K10)</f>
        <v>0.60103924888228</v>
      </c>
      <c r="L20" s="24">
        <f>SUM(J20:J22)/$B$6</f>
        <v>0.59815827258119558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1.1738466956215519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1436286</v>
      </c>
      <c r="E22" s="25">
        <v>1</v>
      </c>
      <c r="F22" s="11" t="s">
        <v>4</v>
      </c>
      <c r="G22" s="61">
        <v>1.1738466956215519</v>
      </c>
      <c r="H22" s="11"/>
      <c r="I22" s="11"/>
      <c r="J22" s="13">
        <f>D22*G22</f>
        <v>1685979.5750674962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1.335452250904769</v>
      </c>
      <c r="H23" s="7"/>
      <c r="I23" s="7"/>
      <c r="J23" s="9">
        <f>D23*G23</f>
        <v>0</v>
      </c>
      <c r="K23" s="69">
        <f>K11</f>
        <v>4.7453473945805E-2</v>
      </c>
      <c r="L23" s="69">
        <f>(SUM(J23:J24))/B6</f>
        <v>4.4654497813889811E-2</v>
      </c>
    </row>
    <row r="24" spans="1:13" ht="15" thickBot="1" x14ac:dyDescent="0.35">
      <c r="A24" s="64" t="s">
        <v>38</v>
      </c>
      <c r="B24" s="11"/>
      <c r="C24" s="11"/>
      <c r="D24" s="52">
        <v>341485</v>
      </c>
      <c r="E24" s="25">
        <v>1</v>
      </c>
      <c r="F24" s="11" t="s">
        <v>22</v>
      </c>
      <c r="G24" s="61">
        <v>1.335452250904769</v>
      </c>
      <c r="H24" s="11"/>
      <c r="I24" s="11"/>
      <c r="J24" s="13">
        <f>D24*G24</f>
        <v>456036.91190021508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-30</v>
      </c>
      <c r="E25" s="23">
        <v>-125000</v>
      </c>
      <c r="F25" s="7" t="s">
        <v>5</v>
      </c>
      <c r="G25" s="7"/>
      <c r="H25" s="7"/>
      <c r="I25" s="7"/>
      <c r="J25" s="9">
        <f>-J20</f>
        <v>-4422750</v>
      </c>
      <c r="K25" s="65">
        <f>SUM(K12:K14)</f>
        <v>0.35150727717191399</v>
      </c>
      <c r="L25" s="20">
        <f>SUM(J25:J29)/$B$6</f>
        <v>0.35754951473133845</v>
      </c>
    </row>
    <row r="26" spans="1:13" x14ac:dyDescent="0.3">
      <c r="A26" s="5" t="s">
        <v>13</v>
      </c>
      <c r="B26" s="5"/>
      <c r="C26" s="5"/>
      <c r="D26" s="49">
        <v>1267824.82</v>
      </c>
      <c r="E26" s="23">
        <v>1</v>
      </c>
      <c r="F26" s="7" t="s">
        <v>5</v>
      </c>
      <c r="G26" s="7"/>
      <c r="H26" s="4"/>
      <c r="I26" s="4"/>
      <c r="J26" s="6">
        <f>D26</f>
        <v>1267824.82</v>
      </c>
      <c r="K26" s="4"/>
      <c r="L26" s="4"/>
    </row>
    <row r="27" spans="1:13" x14ac:dyDescent="0.3">
      <c r="A27" s="5" t="s">
        <v>14</v>
      </c>
      <c r="B27" s="5"/>
      <c r="C27" s="5"/>
      <c r="D27" s="49">
        <v>8756233.4700000007</v>
      </c>
      <c r="E27" s="23">
        <v>1</v>
      </c>
      <c r="F27" s="7" t="s">
        <v>5</v>
      </c>
      <c r="G27" s="7"/>
      <c r="H27" s="4"/>
      <c r="I27" s="4"/>
      <c r="J27" s="6">
        <f>D27-J24-J22</f>
        <v>6614216.9830322899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192205.46</v>
      </c>
      <c r="E29" s="25">
        <v>1</v>
      </c>
      <c r="F29" s="11" t="s">
        <v>5</v>
      </c>
      <c r="G29" s="11"/>
      <c r="H29" s="11"/>
      <c r="I29" s="11"/>
      <c r="J29" s="13">
        <f>D29</f>
        <v>192205.46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10216263.750000002</v>
      </c>
      <c r="K30" s="42">
        <f>SUM(K20:K29)</f>
        <v>0.999999999999999</v>
      </c>
      <c r="L30" s="42">
        <f>SUM(L20:L29)</f>
        <v>1.0003622851264238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30</v>
      </c>
      <c r="E35" s="23">
        <v>125000</v>
      </c>
      <c r="F35" s="4" t="s">
        <v>5</v>
      </c>
      <c r="G35" s="22"/>
      <c r="H35" s="31">
        <v>1.1794</v>
      </c>
      <c r="I35" s="22"/>
      <c r="J35" s="6">
        <f>J20</f>
        <v>4422750</v>
      </c>
      <c r="K35" s="26">
        <f>SUM(K10:K10)</f>
        <v>0.60103924888228</v>
      </c>
      <c r="L35" s="24">
        <f>SUM(J35:J37)/$B$6</f>
        <v>0.59815827258119558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1436286</v>
      </c>
      <c r="E37" s="25"/>
      <c r="F37" s="11" t="s">
        <v>4</v>
      </c>
      <c r="G37" s="11"/>
      <c r="H37" s="11"/>
      <c r="I37" s="11"/>
      <c r="J37" s="29">
        <f>J22</f>
        <v>1685979.5750674962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4.7453473945805E-2</v>
      </c>
      <c r="L38" s="69">
        <f>(SUM(J38:J39))/$B$6</f>
        <v>4.4654497813889811E-2</v>
      </c>
    </row>
    <row r="39" spans="1:12" ht="15" thickBot="1" x14ac:dyDescent="0.35">
      <c r="A39" s="11" t="s">
        <v>38</v>
      </c>
      <c r="B39" s="11"/>
      <c r="C39" s="11"/>
      <c r="D39" s="29">
        <v>341485</v>
      </c>
      <c r="E39" s="25"/>
      <c r="F39" s="11" t="s">
        <v>22</v>
      </c>
      <c r="G39" s="11"/>
      <c r="H39" s="11"/>
      <c r="I39" s="11"/>
      <c r="J39" s="29">
        <f>J24</f>
        <v>456036.91190021508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3651497.2630322902</v>
      </c>
      <c r="K40" s="71">
        <f>K25</f>
        <v>0.35150727717191399</v>
      </c>
      <c r="L40" s="71">
        <f>L25</f>
        <v>0.35754951473133845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10216263.75</v>
      </c>
      <c r="K41" s="42">
        <f>SUM(K35:K40)</f>
        <v>0.999999999999999</v>
      </c>
      <c r="L41" s="42">
        <f>SUM(L35:L40)</f>
        <v>1.0003622851264238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2025-12-15T12:31:14Z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