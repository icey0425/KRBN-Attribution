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70" documentId="8_{CB9BB772-4E41-4EA5-810E-C1D23B4DFF0E}" xr6:coauthVersionLast="47" xr6:coauthVersionMax="47" xr10:uidLastSave="{3F8DF5CA-14E1-4FD1-A6A6-24AC3A5430E7}"/>
  <bookViews>
    <workbookView xWindow="32865" yWindow="4140" windowWidth="22095" windowHeight="975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8" i="1" l="1"/>
  <c r="K26" i="1"/>
  <c r="M11" i="1"/>
  <c r="M16" i="1"/>
  <c r="N16" i="1" s="1"/>
  <c r="N11" i="1"/>
  <c r="N12" i="1"/>
  <c r="N13" i="1"/>
  <c r="N14" i="1"/>
  <c r="N15" i="1"/>
  <c r="N17" i="1"/>
  <c r="N18" i="1"/>
  <c r="N19" i="1"/>
  <c r="N20" i="1"/>
  <c r="N10" i="1"/>
  <c r="M12" i="1"/>
  <c r="M13" i="1"/>
  <c r="M14" i="1"/>
  <c r="M15" i="1"/>
  <c r="M17" i="1"/>
  <c r="M18" i="1"/>
  <c r="M19" i="1"/>
  <c r="M20" i="1"/>
  <c r="M10" i="1"/>
  <c r="K21" i="1" l="1"/>
  <c r="J33" i="1" l="1"/>
  <c r="K41" i="1"/>
  <c r="K39" i="1"/>
  <c r="J31" i="1"/>
  <c r="J30" i="1"/>
  <c r="K29" i="1"/>
  <c r="K42" i="1" s="1"/>
  <c r="J28" i="1"/>
  <c r="J41" i="1" s="1"/>
  <c r="L41" i="1" s="1"/>
  <c r="J27" i="1"/>
  <c r="J40" i="1" s="1"/>
  <c r="J26" i="1"/>
  <c r="J29" i="1" s="1"/>
  <c r="J18" i="1"/>
  <c r="L18" i="1" s="1"/>
  <c r="J16" i="1"/>
  <c r="L16" i="1" s="1"/>
  <c r="J15" i="1"/>
  <c r="L15" i="1" s="1"/>
  <c r="J13" i="1"/>
  <c r="L13" i="1" s="1"/>
  <c r="J11" i="1"/>
  <c r="L11" i="1" s="1"/>
  <c r="J10" i="1"/>
  <c r="L10" i="1" s="1"/>
  <c r="J7" i="1"/>
  <c r="L29" i="1" l="1"/>
  <c r="L42" i="1" s="1"/>
  <c r="K43" i="1"/>
  <c r="K34" i="1"/>
  <c r="L28" i="1"/>
  <c r="J34" i="1"/>
  <c r="J39" i="1"/>
  <c r="L39" i="1" s="1"/>
  <c r="L21" i="1"/>
  <c r="J42" i="1"/>
  <c r="L26" i="1"/>
  <c r="J21" i="1"/>
  <c r="L43" i="1" l="1"/>
  <c r="J43" i="1"/>
  <c r="L34" i="1"/>
</calcChain>
</file>

<file path=xl/sharedStrings.xml><?xml version="1.0" encoding="utf-8"?>
<sst xmlns="http://schemas.openxmlformats.org/spreadsheetml/2006/main" count="112" uniqueCount="67">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</sst>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7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2" xfId="0" applyBorder="1"/>
    <xf numFmtId="0" fontId="4" fillId="2" borderId="4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6" xfId="0" quotePrefix="1" applyBorder="1"/>
    <xf numFmtId="43" fontId="0" fillId="0" borderId="6" xfId="1" applyFont="1" applyBorder="1"/>
    <xf numFmtId="0" fontId="4" fillId="3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7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5" xfId="0" applyBorder="1"/>
    <xf numFmtId="164" fontId="1" fillId="0" borderId="2" xfId="1" applyNumberFormat="1" applyFont="1" applyBorder="1"/>
    <xf numFmtId="166" fontId="0" fillId="0" borderId="1" xfId="3" applyNumberFormat="1" applyFont="1" applyBorder="1"/>
    <xf numFmtId="164" fontId="1" fillId="0" borderId="6" xfId="1" applyNumberFormat="1" applyFont="1" applyBorder="1"/>
    <xf numFmtId="166" fontId="0" fillId="0" borderId="1" xfId="1" applyNumberFormat="1" applyFont="1" applyBorder="1"/>
    <xf numFmtId="166" fontId="0" fillId="0" borderId="6" xfId="1" applyNumberFormat="1" applyFont="1" applyBorder="1"/>
    <xf numFmtId="166" fontId="0" fillId="0" borderId="1" xfId="0" applyNumberFormat="1" applyBorder="1"/>
    <xf numFmtId="166" fontId="0" fillId="0" borderId="6" xfId="3" applyNumberFormat="1" applyFont="1" applyBorder="1"/>
    <xf numFmtId="43" fontId="1" fillId="0" borderId="6" xfId="1" applyFont="1" applyBorder="1"/>
    <xf numFmtId="43" fontId="2" fillId="5" borderId="6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8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5" xfId="0" quotePrefix="1" applyBorder="1"/>
    <xf numFmtId="0" fontId="0" fillId="0" borderId="9" xfId="0" applyBorder="1"/>
    <xf numFmtId="164" fontId="1" fillId="0" borderId="9" xfId="1" applyNumberFormat="1" applyFont="1" applyBorder="1"/>
    <xf numFmtId="43" fontId="0" fillId="0" borderId="9" xfId="1" applyFont="1" applyBorder="1"/>
    <xf numFmtId="166" fontId="0" fillId="0" borderId="9" xfId="1" applyNumberFormat="1" applyFont="1" applyBorder="1"/>
    <xf numFmtId="43" fontId="1" fillId="0" borderId="9" xfId="1" applyFont="1" applyBorder="1"/>
    <xf numFmtId="166" fontId="2" fillId="0" borderId="8" xfId="3" applyNumberFormat="1" applyFont="1" applyBorder="1"/>
    <xf numFmtId="164" fontId="2" fillId="0" borderId="6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2" xfId="1" applyNumberFormat="1" applyFont="1" applyFill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6" xfId="1" applyNumberFormat="1" applyFont="1" applyFill="1" applyBorder="1"/>
    <xf numFmtId="164" fontId="1" fillId="0" borderId="6" xfId="1" applyNumberFormat="1" applyFont="1" applyFill="1" applyBorder="1"/>
    <xf numFmtId="43" fontId="2" fillId="0" borderId="6" xfId="1" applyFont="1" applyFill="1" applyBorder="1"/>
    <xf numFmtId="165" fontId="2" fillId="0" borderId="5" xfId="1" applyNumberFormat="1" applyFont="1" applyFill="1" applyBorder="1"/>
    <xf numFmtId="43" fontId="2" fillId="0" borderId="9" xfId="1" applyFont="1" applyFill="1" applyBorder="1"/>
    <xf numFmtId="166" fontId="0" fillId="5" borderId="6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5" xfId="1" applyFont="1" applyFill="1" applyBorder="1"/>
    <xf numFmtId="43" fontId="0" fillId="0" borderId="5" xfId="1" applyFont="1" applyBorder="1"/>
    <xf numFmtId="164" fontId="1" fillId="0" borderId="1" xfId="1" applyNumberFormat="1" applyFont="1" applyBorder="1"/>
    <xf numFmtId="166" fontId="0" fillId="0" borderId="6" xfId="0" applyNumberFormat="1" applyBorder="1"/>
    <xf numFmtId="167" fontId="0" fillId="0" borderId="6" xfId="0" applyNumberFormat="1" applyBorder="1"/>
    <xf numFmtId="167" fontId="0" fillId="0" borderId="4" xfId="0" applyNumberFormat="1" applyBorder="1"/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166" fontId="2" fillId="0" borderId="8" xfId="0" applyNumberFormat="1" applyFont="1" applyBorder="1"/>
    <xf numFmtId="166" fontId="2" fillId="0" borderId="13" xfId="0" applyNumberFormat="1" applyFont="1" applyBorder="1"/>
    <xf numFmtId="164" fontId="1" fillId="0" borderId="1" xfId="1" applyNumberFormat="1" applyFont="1" applyFill="1" applyBorder="1"/>
    <xf numFmtId="168" fontId="2" fillId="0" borderId="1" xfId="0" applyNumberFormat="1" applyFont="1" applyBorder="1"/>
    <xf numFmtId="166" fontId="0" fillId="5" borderId="1" xfId="3" applyNumberFormat="1" applyFont="1" applyFill="1" applyBorder="1"/>
    <xf numFmtId="0" fontId="2" fillId="0" borderId="1" xfId="0" applyFont="1" applyBorder="1"/>
    <xf numFmtId="0" fontId="0" fillId="0" borderId="17" xfId="0" applyBorder="1"/>
    <xf numFmtId="166" fontId="0" fillId="0" borderId="18" xfId="3" applyNumberFormat="1" applyFont="1" applyBorder="1"/>
    <xf numFmtId="0" fontId="0" fillId="0" borderId="19" xfId="0" applyBorder="1"/>
    <xf numFmtId="166" fontId="0" fillId="0" borderId="20" xfId="3" applyNumberFormat="1" applyFont="1" applyBorder="1"/>
    <xf numFmtId="44" fontId="0" fillId="0" borderId="0" xfId="0" applyNumberFormat="1"/>
    <xf numFmtId="0" fontId="3" fillId="6" borderId="0" xfId="0" applyFont="1" applyFill="1" applyAlignment="1">
      <alignment horizontal="center" vertical="center" wrapText="1"/>
    </xf>
    <xf numFmtId="164" fontId="0" fillId="0" borderId="0" xfId="1" applyNumberFormat="1" applyFont="1"/>
    <xf numFmtId="164" fontId="0" fillId="7" borderId="0" xfId="1" applyNumberFormat="1" applyFont="1" applyFill="1"/>
    <xf numFmtId="44" fontId="0" fillId="7" borderId="0" xfId="0" applyNumberFormat="1" applyFill="1"/>
    <xf numFmtId="0" fontId="10" fillId="0" borderId="14" xfId="0" applyFont="1" applyBorder="1"/>
    <xf numFmtId="0" fontId="10" fillId="0" borderId="15" xfId="0" quotePrefix="1" applyFont="1" applyBorder="1"/>
    <xf numFmtId="164" fontId="11" fillId="0" borderId="15" xfId="1" applyNumberFormat="1" applyFont="1" applyFill="1" applyBorder="1"/>
    <xf numFmtId="164" fontId="10" fillId="0" borderId="15" xfId="1" applyNumberFormat="1" applyFont="1" applyFill="1" applyBorder="1"/>
    <xf numFmtId="0" fontId="10" fillId="0" borderId="15" xfId="0" applyFont="1" applyBorder="1"/>
    <xf numFmtId="168" fontId="11" fillId="0" borderId="15" xfId="0" applyNumberFormat="1" applyFont="1" applyBorder="1"/>
    <xf numFmtId="43" fontId="11" fillId="0" borderId="15" xfId="1" applyFont="1" applyFill="1" applyBorder="1"/>
    <xf numFmtId="43" fontId="10" fillId="0" borderId="15" xfId="1" applyFont="1" applyBorder="1"/>
    <xf numFmtId="166" fontId="10" fillId="5" borderId="15" xfId="3" applyNumberFormat="1" applyFont="1" applyFill="1" applyBorder="1"/>
    <xf numFmtId="166" fontId="10" fillId="0" borderId="16" xfId="3" applyNumberFormat="1" applyFont="1" applyBorder="1"/>
    <xf numFmtId="44" fontId="10" fillId="0" borderId="0" xfId="0" applyNumberFormat="1" applyFont="1"/>
    <xf numFmtId="164" fontId="10" fillId="0" borderId="0" xfId="1" applyNumberFormat="1" applyFont="1"/>
    <xf numFmtId="0" fontId="10" fillId="0" borderId="17" xfId="0" applyFont="1" applyBorder="1"/>
    <xf numFmtId="0" fontId="10" fillId="0" borderId="1" xfId="0" quotePrefix="1" applyFont="1" applyBorder="1"/>
    <xf numFmtId="164" fontId="11" fillId="0" borderId="1" xfId="1" applyNumberFormat="1" applyFont="1" applyFill="1" applyBorder="1"/>
    <xf numFmtId="164" fontId="10" fillId="0" borderId="1" xfId="1" applyNumberFormat="1" applyFont="1" applyFill="1" applyBorder="1"/>
    <xf numFmtId="0" fontId="10" fillId="0" borderId="1" xfId="0" applyFont="1" applyBorder="1"/>
    <xf numFmtId="168" fontId="11" fillId="0" borderId="1" xfId="0" applyNumberFormat="1" applyFont="1" applyBorder="1"/>
    <xf numFmtId="43" fontId="11" fillId="0" borderId="1" xfId="1" applyFont="1" applyFill="1" applyBorder="1"/>
    <xf numFmtId="43" fontId="10" fillId="0" borderId="1" xfId="1" applyFont="1" applyBorder="1"/>
    <xf numFmtId="166" fontId="10" fillId="5" borderId="1" xfId="3" applyNumberFormat="1" applyFont="1" applyFill="1" applyBorder="1"/>
    <xf numFmtId="166" fontId="10" fillId="0" borderId="18" xfId="3" applyNumberFormat="1" applyFont="1" applyBorder="1"/>
    <xf numFmtId="0" fontId="11" fillId="0" borderId="1" xfId="0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N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  <col min="13" max="13" width="16.21875" customWidth="1"/>
    <col min="14" max="14" width="19.44140625" customWidth="1"/>
    <col min="15" max="15" width="12.21875" customWidth="1"/>
  </cols>
  <sheetData>
    <row r="1" spans="1:14" ht="22.95" customHeight="1" x14ac:dyDescent="0.45">
      <c r="A1" s="31" t="s">
        <v>49</v>
      </c>
      <c r="B1" s="19"/>
      <c r="C1" s="19"/>
      <c r="D1" s="19"/>
      <c r="E1" s="19"/>
      <c r="J1" s="43"/>
      <c r="K1" s="44"/>
      <c r="L1" s="45"/>
    </row>
    <row r="2" spans="1:14" ht="23.1" customHeight="1" x14ac:dyDescent="0.3">
      <c r="A2" t="s">
        <v>50</v>
      </c>
      <c r="J2" s="43"/>
      <c r="K2" s="44"/>
      <c r="L2" s="45"/>
    </row>
    <row r="3" spans="1:14" x14ac:dyDescent="0.3">
      <c r="A3" t="s">
        <v>15</v>
      </c>
      <c r="B3" s="55">
        <v>45622</v>
      </c>
    </row>
    <row r="4" spans="1:14" x14ac:dyDescent="0.3">
      <c r="A4" t="s">
        <v>20</v>
      </c>
      <c r="B4">
        <v>0</v>
      </c>
    </row>
    <row r="5" spans="1:14" x14ac:dyDescent="0.3">
      <c r="A5" t="s">
        <v>21</v>
      </c>
      <c r="B5" s="2">
        <v>0</v>
      </c>
    </row>
    <row r="6" spans="1:14" x14ac:dyDescent="0.3">
      <c r="A6" s="3" t="s">
        <v>19</v>
      </c>
      <c r="B6" s="34">
        <v>11988929.91</v>
      </c>
      <c r="J6" t="s">
        <v>27</v>
      </c>
    </row>
    <row r="7" spans="1:14" x14ac:dyDescent="0.3">
      <c r="J7" s="56">
        <f>(D30+D31)/B6</f>
        <v>0.94873175716146951</v>
      </c>
      <c r="K7" s="17"/>
    </row>
    <row r="8" spans="1:14" ht="15" thickBot="1" x14ac:dyDescent="0.35">
      <c r="A8" s="3" t="s">
        <v>34</v>
      </c>
    </row>
    <row r="9" spans="1:14" s="4" customFormat="1" ht="29.4" thickBot="1" x14ac:dyDescent="0.35">
      <c r="A9" s="63" t="s">
        <v>1</v>
      </c>
      <c r="B9" s="64" t="s">
        <v>7</v>
      </c>
      <c r="C9" s="64" t="s">
        <v>0</v>
      </c>
      <c r="D9" s="65" t="s">
        <v>18</v>
      </c>
      <c r="E9" s="65" t="s">
        <v>9</v>
      </c>
      <c r="F9" s="65" t="s">
        <v>3</v>
      </c>
      <c r="G9" s="65" t="s">
        <v>2</v>
      </c>
      <c r="H9" s="65" t="s">
        <v>6</v>
      </c>
      <c r="I9" s="66"/>
      <c r="J9" s="67" t="s">
        <v>17</v>
      </c>
      <c r="K9" s="68" t="s">
        <v>11</v>
      </c>
      <c r="L9" s="68" t="s">
        <v>10</v>
      </c>
      <c r="N9" s="80" t="s">
        <v>66</v>
      </c>
    </row>
    <row r="10" spans="1:14" x14ac:dyDescent="0.3">
      <c r="A10" s="84" t="s">
        <v>28</v>
      </c>
      <c r="B10" s="85" t="s">
        <v>29</v>
      </c>
      <c r="C10" s="85" t="s">
        <v>30</v>
      </c>
      <c r="D10" s="86">
        <v>89</v>
      </c>
      <c r="E10" s="87">
        <v>1000</v>
      </c>
      <c r="F10" s="88" t="s">
        <v>4</v>
      </c>
      <c r="G10" s="89">
        <v>1.0481960545900506</v>
      </c>
      <c r="H10" s="90">
        <v>69.23</v>
      </c>
      <c r="I10" s="88"/>
      <c r="J10" s="91">
        <f>D10*E10*G10*H10</f>
        <v>6458428.5444749594</v>
      </c>
      <c r="K10" s="92">
        <v>0</v>
      </c>
      <c r="L10" s="93">
        <f t="shared" ref="L10:L16" si="0">J10/$B$6</f>
        <v>0.53869933288107441</v>
      </c>
      <c r="M10" s="94">
        <f>(K10-L10)*$B$6</f>
        <v>-6458428.5444749594</v>
      </c>
      <c r="N10" s="95">
        <f>M10/H10/G10/E10</f>
        <v>-89</v>
      </c>
    </row>
    <row r="11" spans="1:14" x14ac:dyDescent="0.3">
      <c r="A11" s="75" t="s">
        <v>35</v>
      </c>
      <c r="B11" s="6" t="s">
        <v>36</v>
      </c>
      <c r="C11" s="6" t="s">
        <v>37</v>
      </c>
      <c r="D11" s="47">
        <v>8</v>
      </c>
      <c r="E11" s="71">
        <v>1000</v>
      </c>
      <c r="F11" s="5" t="s">
        <v>4</v>
      </c>
      <c r="G11" s="72">
        <v>1.0481960545900506</v>
      </c>
      <c r="H11" s="48">
        <v>71.349999999999994</v>
      </c>
      <c r="I11" s="5"/>
      <c r="J11" s="7">
        <f t="shared" ref="J11:J13" si="1">D11*E11*G11*H11</f>
        <v>598310.30796000082</v>
      </c>
      <c r="K11" s="73">
        <v>0.55000000000000004</v>
      </c>
      <c r="L11" s="76">
        <f t="shared" si="0"/>
        <v>4.9905230279221877E-2</v>
      </c>
      <c r="M11" s="83">
        <f>(K11-L11)*$B$6*(53.5/55)</f>
        <v>5832084.7477434538</v>
      </c>
      <c r="N11" s="82">
        <f t="shared" ref="N11:N20" si="2">M11/H11/G11/E11</f>
        <v>77.980735683843179</v>
      </c>
    </row>
    <row r="12" spans="1:14" x14ac:dyDescent="0.3">
      <c r="A12" s="75" t="s">
        <v>51</v>
      </c>
      <c r="B12" s="6" t="s">
        <v>52</v>
      </c>
      <c r="C12" s="6" t="s">
        <v>53</v>
      </c>
      <c r="D12" s="47">
        <v>0</v>
      </c>
      <c r="E12" s="71">
        <v>1000</v>
      </c>
      <c r="F12" s="5" t="s">
        <v>4</v>
      </c>
      <c r="G12" s="72">
        <v>1.0481960545900506</v>
      </c>
      <c r="H12" s="48">
        <v>73.47</v>
      </c>
      <c r="I12" s="5"/>
      <c r="J12" s="7">
        <v>0</v>
      </c>
      <c r="K12" s="73">
        <v>0.05</v>
      </c>
      <c r="L12" s="76"/>
      <c r="M12" s="79">
        <f t="shared" ref="M11:M20" si="3">(K12-L12)*$B$6</f>
        <v>599446.49550000008</v>
      </c>
      <c r="N12" s="81">
        <f t="shared" si="2"/>
        <v>7.7839110607991024</v>
      </c>
    </row>
    <row r="13" spans="1:14" x14ac:dyDescent="0.3">
      <c r="A13" s="96" t="s">
        <v>38</v>
      </c>
      <c r="B13" s="97" t="s">
        <v>39</v>
      </c>
      <c r="C13" s="97" t="s">
        <v>40</v>
      </c>
      <c r="D13" s="98">
        <v>10</v>
      </c>
      <c r="E13" s="99">
        <v>1000</v>
      </c>
      <c r="F13" s="100" t="s">
        <v>22</v>
      </c>
      <c r="G13" s="101">
        <v>1.2564550377564738</v>
      </c>
      <c r="H13" s="102">
        <v>37.119999999999997</v>
      </c>
      <c r="I13" s="100"/>
      <c r="J13" s="103">
        <f t="shared" si="1"/>
        <v>466396.11001520301</v>
      </c>
      <c r="K13" s="104">
        <v>0</v>
      </c>
      <c r="L13" s="105">
        <f t="shared" si="0"/>
        <v>3.8902230100301173E-2</v>
      </c>
      <c r="M13" s="94">
        <f t="shared" si="3"/>
        <v>-466396.11001520301</v>
      </c>
      <c r="N13" s="95">
        <f t="shared" si="2"/>
        <v>-10</v>
      </c>
    </row>
    <row r="14" spans="1:14" x14ac:dyDescent="0.3">
      <c r="A14" s="75" t="s">
        <v>54</v>
      </c>
      <c r="B14" s="6" t="s">
        <v>55</v>
      </c>
      <c r="C14" s="6" t="s">
        <v>56</v>
      </c>
      <c r="D14" s="47">
        <v>0</v>
      </c>
      <c r="E14" s="71">
        <v>1000</v>
      </c>
      <c r="F14" s="5" t="s">
        <v>22</v>
      </c>
      <c r="G14" s="72">
        <v>1.2564550377564738</v>
      </c>
      <c r="H14" s="48">
        <v>39.19</v>
      </c>
      <c r="I14" s="5"/>
      <c r="J14" s="7">
        <v>0</v>
      </c>
      <c r="K14" s="73">
        <v>0.05</v>
      </c>
      <c r="L14" s="76"/>
      <c r="M14" s="79">
        <f t="shared" si="3"/>
        <v>599446.49550000008</v>
      </c>
      <c r="N14" s="81">
        <f t="shared" si="2"/>
        <v>12.173857394832741</v>
      </c>
    </row>
    <row r="15" spans="1:14" x14ac:dyDescent="0.3">
      <c r="A15" s="96" t="s">
        <v>31</v>
      </c>
      <c r="B15" s="97" t="s">
        <v>32</v>
      </c>
      <c r="C15" s="97" t="s">
        <v>33</v>
      </c>
      <c r="D15" s="98">
        <v>81</v>
      </c>
      <c r="E15" s="99">
        <v>1000</v>
      </c>
      <c r="F15" s="100" t="s">
        <v>5</v>
      </c>
      <c r="G15" s="106">
        <v>1</v>
      </c>
      <c r="H15" s="102">
        <v>33.94</v>
      </c>
      <c r="I15" s="100"/>
      <c r="J15" s="103">
        <f>D15*E15*H15</f>
        <v>2749140</v>
      </c>
      <c r="K15" s="104">
        <v>0</v>
      </c>
      <c r="L15" s="105">
        <f t="shared" si="0"/>
        <v>0.22930653700018169</v>
      </c>
      <c r="M15" s="94">
        <f t="shared" si="3"/>
        <v>-2749140</v>
      </c>
      <c r="N15" s="95">
        <f t="shared" si="2"/>
        <v>-81</v>
      </c>
    </row>
    <row r="16" spans="1:14" x14ac:dyDescent="0.3">
      <c r="A16" s="75" t="s">
        <v>41</v>
      </c>
      <c r="B16" s="6" t="s">
        <v>42</v>
      </c>
      <c r="C16" s="6" t="s">
        <v>43</v>
      </c>
      <c r="D16" s="47">
        <v>15</v>
      </c>
      <c r="E16" s="71">
        <v>1000</v>
      </c>
      <c r="F16" s="5" t="s">
        <v>5</v>
      </c>
      <c r="G16" s="74">
        <v>1</v>
      </c>
      <c r="H16" s="48">
        <v>36</v>
      </c>
      <c r="I16" s="5"/>
      <c r="J16" s="7">
        <f>D16*E16*H16</f>
        <v>540000</v>
      </c>
      <c r="K16" s="73">
        <v>0.2</v>
      </c>
      <c r="L16" s="76">
        <f t="shared" si="0"/>
        <v>4.5041551168764821E-2</v>
      </c>
      <c r="M16" s="83">
        <f>(K16-L16)*$B$6*(18.5/20)</f>
        <v>1718452.0333500002</v>
      </c>
      <c r="N16" s="82">
        <f t="shared" si="2"/>
        <v>47.734778704166672</v>
      </c>
    </row>
    <row r="17" spans="1:14" x14ac:dyDescent="0.3">
      <c r="A17" s="75" t="s">
        <v>57</v>
      </c>
      <c r="B17" s="6" t="s">
        <v>58</v>
      </c>
      <c r="C17" s="6" t="s">
        <v>59</v>
      </c>
      <c r="D17" s="47">
        <v>0</v>
      </c>
      <c r="E17" s="71">
        <v>1000</v>
      </c>
      <c r="F17" s="5" t="s">
        <v>5</v>
      </c>
      <c r="G17" s="74">
        <v>1</v>
      </c>
      <c r="H17" s="48">
        <v>38.15</v>
      </c>
      <c r="I17" s="5"/>
      <c r="J17" s="7">
        <v>0</v>
      </c>
      <c r="K17" s="73">
        <v>0.05</v>
      </c>
      <c r="L17" s="76"/>
      <c r="M17" s="79">
        <f t="shared" si="3"/>
        <v>599446.49550000008</v>
      </c>
      <c r="N17" s="81">
        <f t="shared" si="2"/>
        <v>15.712883237221497</v>
      </c>
    </row>
    <row r="18" spans="1:14" x14ac:dyDescent="0.3">
      <c r="A18" s="96" t="s">
        <v>44</v>
      </c>
      <c r="B18" s="97" t="s">
        <v>45</v>
      </c>
      <c r="C18" s="97" t="s">
        <v>46</v>
      </c>
      <c r="D18" s="98">
        <v>30</v>
      </c>
      <c r="E18" s="99">
        <v>1000</v>
      </c>
      <c r="F18" s="100" t="s">
        <v>5</v>
      </c>
      <c r="G18" s="106">
        <v>1</v>
      </c>
      <c r="H18" s="102">
        <v>24.08</v>
      </c>
      <c r="I18" s="100"/>
      <c r="J18" s="103">
        <f>D18*E18*H18</f>
        <v>722400</v>
      </c>
      <c r="K18" s="104">
        <v>0</v>
      </c>
      <c r="L18" s="105">
        <f>J18/$B$6</f>
        <v>6.0255586230214271E-2</v>
      </c>
      <c r="M18" s="94">
        <f t="shared" si="3"/>
        <v>-722400</v>
      </c>
      <c r="N18" s="95">
        <f t="shared" si="2"/>
        <v>-30.000000000000004</v>
      </c>
    </row>
    <row r="19" spans="1:14" x14ac:dyDescent="0.3">
      <c r="A19" s="75" t="s">
        <v>60</v>
      </c>
      <c r="B19" s="6" t="s">
        <v>61</v>
      </c>
      <c r="C19" s="6" t="s">
        <v>62</v>
      </c>
      <c r="D19" s="47">
        <v>0</v>
      </c>
      <c r="E19" s="71">
        <v>1000</v>
      </c>
      <c r="F19" s="5" t="s">
        <v>5</v>
      </c>
      <c r="G19" s="74">
        <v>1</v>
      </c>
      <c r="H19" s="48">
        <v>25.3</v>
      </c>
      <c r="I19" s="5"/>
      <c r="J19" s="7">
        <v>0</v>
      </c>
      <c r="K19" s="73">
        <v>0.05</v>
      </c>
      <c r="L19" s="76"/>
      <c r="M19" s="79">
        <f t="shared" si="3"/>
        <v>599446.49550000008</v>
      </c>
      <c r="N19" s="81">
        <f t="shared" si="2"/>
        <v>23.693537371541506</v>
      </c>
    </row>
    <row r="20" spans="1:14" ht="15" thickBot="1" x14ac:dyDescent="0.35">
      <c r="A20" s="77" t="s">
        <v>63</v>
      </c>
      <c r="B20" s="11" t="s">
        <v>64</v>
      </c>
      <c r="C20" s="11" t="s">
        <v>65</v>
      </c>
      <c r="D20" s="49">
        <v>0</v>
      </c>
      <c r="E20" s="50">
        <v>1000</v>
      </c>
      <c r="F20" s="10" t="s">
        <v>5</v>
      </c>
      <c r="G20" s="10">
        <v>1</v>
      </c>
      <c r="H20" s="51">
        <v>60.8</v>
      </c>
      <c r="I20" s="10"/>
      <c r="J20" s="12">
        <v>0</v>
      </c>
      <c r="K20" s="54">
        <v>0.05</v>
      </c>
      <c r="L20" s="78"/>
      <c r="M20" s="79">
        <f t="shared" si="3"/>
        <v>599446.49550000008</v>
      </c>
      <c r="N20" s="81">
        <f t="shared" si="2"/>
        <v>9.8593173601973696</v>
      </c>
    </row>
    <row r="21" spans="1:14" ht="15" thickBot="1" x14ac:dyDescent="0.35">
      <c r="J21" s="32">
        <f>SUM(J10:J18)</f>
        <v>11534674.962450163</v>
      </c>
      <c r="K21" s="69">
        <f>SUM(K10:K20)</f>
        <v>1.0000000000000002</v>
      </c>
      <c r="L21" s="70">
        <f>SUM(L10:L18)</f>
        <v>0.96211046765975827</v>
      </c>
    </row>
    <row r="22" spans="1:14" x14ac:dyDescent="0.3">
      <c r="J22" s="17"/>
      <c r="K22" s="17"/>
    </row>
    <row r="23" spans="1:14" x14ac:dyDescent="0.3">
      <c r="J23" s="17"/>
      <c r="K23" s="17"/>
      <c r="L23" s="17"/>
    </row>
    <row r="24" spans="1:14" ht="15" thickBot="1" x14ac:dyDescent="0.35">
      <c r="A24" s="3" t="s">
        <v>12</v>
      </c>
    </row>
    <row r="25" spans="1:14" ht="29.4" thickBot="1" x14ac:dyDescent="0.35">
      <c r="A25" s="14"/>
      <c r="B25" s="15" t="s">
        <v>7</v>
      </c>
      <c r="C25" s="15" t="s">
        <v>0</v>
      </c>
      <c r="D25" s="9" t="s">
        <v>18</v>
      </c>
      <c r="E25" s="9" t="s">
        <v>9</v>
      </c>
      <c r="F25" s="9" t="s">
        <v>3</v>
      </c>
      <c r="G25" s="9"/>
      <c r="H25" s="9" t="s">
        <v>6</v>
      </c>
      <c r="I25" s="16"/>
      <c r="J25" s="13" t="s">
        <v>17</v>
      </c>
      <c r="K25" s="18" t="s">
        <v>11</v>
      </c>
      <c r="L25" s="18" t="s">
        <v>10</v>
      </c>
    </row>
    <row r="26" spans="1:14" x14ac:dyDescent="0.3">
      <c r="A26" s="5" t="s">
        <v>8</v>
      </c>
      <c r="B26" s="6" t="s">
        <v>47</v>
      </c>
      <c r="C26" s="6" t="s">
        <v>48</v>
      </c>
      <c r="D26" s="47">
        <v>52</v>
      </c>
      <c r="E26" s="46">
        <v>125000</v>
      </c>
      <c r="F26" s="5" t="s">
        <v>5</v>
      </c>
      <c r="G26" s="20"/>
      <c r="H26" s="52">
        <v>1.0481499999999999</v>
      </c>
      <c r="I26" s="20"/>
      <c r="J26" s="7">
        <f>D26*E26*H26</f>
        <v>6812974.9999999991</v>
      </c>
      <c r="K26" s="24">
        <f>SUM(K10:K12)</f>
        <v>0.60000000000000009</v>
      </c>
      <c r="L26" s="22">
        <f>SUM(J26:J27)/$B$6</f>
        <v>0.56827215198891745</v>
      </c>
      <c r="M26" s="17"/>
    </row>
    <row r="27" spans="1:14" ht="15" thickBot="1" x14ac:dyDescent="0.35">
      <c r="A27" s="10" t="s">
        <v>23</v>
      </c>
      <c r="B27" s="11"/>
      <c r="C27" s="11"/>
      <c r="D27" s="53"/>
      <c r="E27" s="37">
        <v>1</v>
      </c>
      <c r="F27" s="10" t="s">
        <v>4</v>
      </c>
      <c r="G27" s="61">
        <v>1.0481960545900506</v>
      </c>
      <c r="H27" s="10"/>
      <c r="I27" s="10"/>
      <c r="J27" s="12">
        <f>D27*G27</f>
        <v>0</v>
      </c>
      <c r="K27" s="25"/>
      <c r="L27" s="27"/>
    </row>
    <row r="28" spans="1:14" ht="15" thickBot="1" x14ac:dyDescent="0.35">
      <c r="A28" s="36" t="s">
        <v>24</v>
      </c>
      <c r="B28" s="36"/>
      <c r="C28" s="36"/>
      <c r="D28" s="53"/>
      <c r="E28" s="37">
        <v>1</v>
      </c>
      <c r="F28" s="36" t="s">
        <v>22</v>
      </c>
      <c r="G28" s="62">
        <v>1.2564550377564738</v>
      </c>
      <c r="H28" s="36"/>
      <c r="I28" s="36"/>
      <c r="J28" s="38">
        <f>D28*G28</f>
        <v>0</v>
      </c>
      <c r="K28" s="39">
        <f>K14</f>
        <v>0.05</v>
      </c>
      <c r="L28" s="39">
        <f>J28/B6</f>
        <v>0</v>
      </c>
    </row>
    <row r="29" spans="1:14" x14ac:dyDescent="0.3">
      <c r="A29" s="5" t="s">
        <v>8</v>
      </c>
      <c r="B29" s="6" t="s">
        <v>47</v>
      </c>
      <c r="C29" s="6" t="s">
        <v>48</v>
      </c>
      <c r="D29" s="46">
        <v>-52</v>
      </c>
      <c r="E29" s="21">
        <v>-125000</v>
      </c>
      <c r="F29" s="5" t="s">
        <v>5</v>
      </c>
      <c r="G29" s="8"/>
      <c r="H29" s="8"/>
      <c r="I29" s="8"/>
      <c r="J29" s="7">
        <f>-J26</f>
        <v>-6812974.9999999991</v>
      </c>
      <c r="K29" s="26">
        <f>SUM(K15:K18)</f>
        <v>0.25</v>
      </c>
      <c r="L29" s="22">
        <f>SUM(J29:J33)/$B$6</f>
        <v>0.43221900527400786</v>
      </c>
    </row>
    <row r="30" spans="1:14" x14ac:dyDescent="0.3">
      <c r="A30" s="6" t="s">
        <v>13</v>
      </c>
      <c r="B30" s="6"/>
      <c r="C30" s="6"/>
      <c r="D30" s="48">
        <v>1934145.84</v>
      </c>
      <c r="E30" s="21">
        <v>1</v>
      </c>
      <c r="F30" s="8" t="s">
        <v>5</v>
      </c>
      <c r="G30" s="8"/>
      <c r="H30" s="5"/>
      <c r="I30" s="5"/>
      <c r="J30" s="7">
        <f>D30</f>
        <v>1934145.84</v>
      </c>
      <c r="K30" s="5"/>
      <c r="L30" s="5"/>
    </row>
    <row r="31" spans="1:14" x14ac:dyDescent="0.3">
      <c r="A31" s="6" t="s">
        <v>14</v>
      </c>
      <c r="B31" s="6"/>
      <c r="C31" s="6"/>
      <c r="D31" s="48">
        <v>9440132.6999999993</v>
      </c>
      <c r="E31" s="21">
        <v>1</v>
      </c>
      <c r="F31" s="8" t="s">
        <v>5</v>
      </c>
      <c r="G31" s="8"/>
      <c r="H31" s="5"/>
      <c r="I31" s="5"/>
      <c r="J31" s="7">
        <f>D31</f>
        <v>9440132.6999999993</v>
      </c>
      <c r="K31" s="5"/>
      <c r="L31" s="5"/>
    </row>
    <row r="32" spans="1:14" x14ac:dyDescent="0.3">
      <c r="A32" s="35"/>
      <c r="B32" s="35"/>
      <c r="C32" s="35"/>
      <c r="D32" s="57"/>
      <c r="E32" s="59"/>
      <c r="F32" s="5"/>
      <c r="G32" s="5"/>
      <c r="H32" s="20"/>
      <c r="I32" s="20"/>
      <c r="J32" s="58"/>
      <c r="K32" s="20"/>
      <c r="L32" s="20"/>
    </row>
    <row r="33" spans="1:12" ht="15" thickBot="1" x14ac:dyDescent="0.35">
      <c r="A33" s="11" t="s">
        <v>25</v>
      </c>
      <c r="B33" s="11"/>
      <c r="C33" s="11"/>
      <c r="D33" s="29">
        <v>620539.81999999995</v>
      </c>
      <c r="E33" s="23">
        <v>1</v>
      </c>
      <c r="F33" s="10" t="s">
        <v>5</v>
      </c>
      <c r="G33" s="10"/>
      <c r="H33" s="10"/>
      <c r="I33" s="10"/>
      <c r="J33" s="12">
        <f>D33</f>
        <v>620539.81999999995</v>
      </c>
      <c r="K33" s="10"/>
      <c r="L33" s="10"/>
    </row>
    <row r="34" spans="1:12" ht="15" thickBot="1" x14ac:dyDescent="0.35">
      <c r="A34" s="1"/>
      <c r="B34" s="1"/>
      <c r="C34" s="1"/>
      <c r="D34" s="33"/>
      <c r="E34" s="1"/>
      <c r="J34" s="32">
        <f>SUM(J26:J33)</f>
        <v>11994818.359999999</v>
      </c>
      <c r="K34" s="41">
        <f>SUM(K26:K33)</f>
        <v>0.90000000000000013</v>
      </c>
      <c r="L34" s="41">
        <f>SUM(L26:L33)</f>
        <v>1.0004911572629254</v>
      </c>
    </row>
    <row r="35" spans="1:12" x14ac:dyDescent="0.3">
      <c r="A35" s="1"/>
      <c r="B35" s="33"/>
      <c r="C35" s="1"/>
      <c r="D35" s="1"/>
      <c r="E35" s="1"/>
    </row>
    <row r="36" spans="1:12" x14ac:dyDescent="0.3">
      <c r="A36" s="1"/>
      <c r="B36" s="1"/>
      <c r="C36" s="1"/>
      <c r="D36" s="1"/>
      <c r="E36" s="1"/>
    </row>
    <row r="37" spans="1:12" ht="15" thickBot="1" x14ac:dyDescent="0.35">
      <c r="A37" s="3" t="s">
        <v>16</v>
      </c>
    </row>
    <row r="38" spans="1:12" ht="29.4" thickBot="1" x14ac:dyDescent="0.35">
      <c r="A38" s="14"/>
      <c r="B38" s="15" t="s">
        <v>7</v>
      </c>
      <c r="C38" s="15" t="s">
        <v>0</v>
      </c>
      <c r="D38" s="9" t="s">
        <v>18</v>
      </c>
      <c r="E38" s="9" t="s">
        <v>9</v>
      </c>
      <c r="F38" s="9" t="s">
        <v>3</v>
      </c>
      <c r="G38" s="9"/>
      <c r="H38" s="9" t="s">
        <v>6</v>
      </c>
      <c r="I38" s="16"/>
      <c r="J38" s="13" t="s">
        <v>17</v>
      </c>
      <c r="K38" s="18" t="s">
        <v>11</v>
      </c>
      <c r="L38" s="18" t="s">
        <v>10</v>
      </c>
    </row>
    <row r="39" spans="1:12" x14ac:dyDescent="0.3">
      <c r="A39" s="20" t="s">
        <v>8</v>
      </c>
      <c r="B39" s="35" t="s">
        <v>47</v>
      </c>
      <c r="C39" s="35" t="s">
        <v>48</v>
      </c>
      <c r="D39" s="21">
        <v>52</v>
      </c>
      <c r="E39" s="21">
        <v>125000</v>
      </c>
      <c r="F39" s="5" t="s">
        <v>5</v>
      </c>
      <c r="G39" s="20"/>
      <c r="H39" s="30">
        <v>1.0481499999999999</v>
      </c>
      <c r="I39" s="20"/>
      <c r="J39" s="7">
        <f>J26</f>
        <v>6812974.9999999991</v>
      </c>
      <c r="K39" s="24">
        <f>SUM(K10:K11)</f>
        <v>0.55000000000000004</v>
      </c>
      <c r="L39" s="22">
        <f>SUM(J39:J40)/$B$6</f>
        <v>0.56827215198891745</v>
      </c>
    </row>
    <row r="40" spans="1:12" ht="15" thickBot="1" x14ac:dyDescent="0.35">
      <c r="A40" s="10" t="s">
        <v>23</v>
      </c>
      <c r="B40" s="10"/>
      <c r="C40" s="10"/>
      <c r="D40" s="28">
        <v>0</v>
      </c>
      <c r="E40" s="23"/>
      <c r="F40" s="10" t="s">
        <v>4</v>
      </c>
      <c r="G40" s="10"/>
      <c r="H40" s="10"/>
      <c r="I40" s="10"/>
      <c r="J40" s="28">
        <f>J27</f>
        <v>0</v>
      </c>
      <c r="K40" s="25"/>
      <c r="L40" s="27"/>
    </row>
    <row r="41" spans="1:12" ht="15" thickBot="1" x14ac:dyDescent="0.35">
      <c r="A41" s="36" t="s">
        <v>24</v>
      </c>
      <c r="B41" s="36"/>
      <c r="C41" s="36"/>
      <c r="D41" s="40">
        <v>0</v>
      </c>
      <c r="E41" s="37"/>
      <c r="F41" s="36" t="s">
        <v>22</v>
      </c>
      <c r="G41" s="36"/>
      <c r="H41" s="36"/>
      <c r="I41" s="36"/>
      <c r="J41" s="40">
        <f>J28</f>
        <v>0</v>
      </c>
      <c r="K41" s="39">
        <f>K13</f>
        <v>0</v>
      </c>
      <c r="L41" s="39">
        <f>J41/$B$6</f>
        <v>0</v>
      </c>
    </row>
    <row r="42" spans="1:12" ht="15" thickBot="1" x14ac:dyDescent="0.35">
      <c r="A42" s="11" t="s">
        <v>26</v>
      </c>
      <c r="B42" s="11"/>
      <c r="C42" s="11"/>
      <c r="D42" s="42"/>
      <c r="E42" s="23"/>
      <c r="F42" s="10" t="s">
        <v>5</v>
      </c>
      <c r="G42" s="10"/>
      <c r="H42" s="10"/>
      <c r="I42" s="10"/>
      <c r="J42" s="28">
        <f>SUM(J29,J30,J31,J33)</f>
        <v>5181843.3600000003</v>
      </c>
      <c r="K42" s="60">
        <f>K29</f>
        <v>0.25</v>
      </c>
      <c r="L42" s="60">
        <f>L29</f>
        <v>0.43221900527400786</v>
      </c>
    </row>
    <row r="43" spans="1:12" ht="15" thickBot="1" x14ac:dyDescent="0.35">
      <c r="A43" s="1"/>
      <c r="B43" s="1"/>
      <c r="C43" s="1"/>
      <c r="D43" s="1"/>
      <c r="E43" s="1"/>
      <c r="J43" s="32">
        <f>SUM(J39:J42)</f>
        <v>11994818.359999999</v>
      </c>
      <c r="K43" s="41">
        <f>SUM(K39:K42)</f>
        <v>0.8</v>
      </c>
      <c r="L43" s="41">
        <f>SUM(L39:L42)</f>
        <v>1.0004911572629254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2024-11-27T20:55:14Z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