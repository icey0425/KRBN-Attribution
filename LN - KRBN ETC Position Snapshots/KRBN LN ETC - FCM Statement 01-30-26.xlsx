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62B36C5-CDB4-4146-906B-728FAB48A576}" xr6:coauthVersionLast="47" xr6:coauthVersionMax="47" xr10:uidLastSave="{0E19B256-3E38-474C-9B22-FCA0BE44D368}"/>
  <bookViews>
    <workbookView xWindow="41385" yWindow="705" windowWidth="15390" windowHeight="1353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<sst xmlns="http://schemas.openxmlformats.org/spreadsheetml/2006/main" count="95" uniqueCount="50">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</sst>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7.7109375" customWidth="1"/>
    <col min="2" max="2" width="21.42578125" customWidth="1"/>
    <col min="3" max="3" width="33.5703125" bestFit="1" customWidth="1"/>
    <col min="4" max="4" width="17.28515625" customWidth="1"/>
    <col min="5" max="5" width="10.7109375" customWidth="1"/>
    <col min="6" max="6" width="7.28515625" customWidth="1"/>
    <col min="7" max="7" width="11.28515625" customWidth="1"/>
    <col min="8" max="8" width="12.28515625" customWidth="1"/>
    <col min="9" max="9" width="1.7109375" customWidth="1"/>
    <col min="10" max="10" width="24.42578125" customWidth="1"/>
    <col min="11" max="11" width="17.28515625" customWidth="1"/>
    <col min="12" max="12" width="17.5703125" customWidth="1"/>
  </cols>
  <sheetData>
    <row r="1" spans="1:12" ht="22.9" customHeight="1" x14ac:dyDescent="0.3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25">
      <c r="A2" t="s">
        <v>28</v>
      </c>
      <c r="J2" s="43"/>
      <c r="K2" s="44"/>
      <c r="L2" s="45"/>
    </row>
    <row r="3" spans="1:12" x14ac:dyDescent="0.25">
      <c r="A3" t="s">
        <v>15</v>
      </c>
      <c r="B3" s="56">
        <v>46052</v>
      </c>
    </row>
    <row r="4" spans="1:12" x14ac:dyDescent="0.25">
      <c r="A4" t="s">
        <v>20</v>
      </c>
      <c r="B4">
        <v>0</v>
      </c>
    </row>
    <row r="5" spans="1:12" x14ac:dyDescent="0.25">
      <c r="A5" t="s">
        <v>21</v>
      </c>
      <c r="B5" s="74">
        <v>0</v>
      </c>
    </row>
    <row r="6" spans="1:12" x14ac:dyDescent="0.25">
      <c r="A6" s="2" t="s">
        <v>19</v>
      </c>
      <c r="B6" s="37">
        <v>11210984.1</v>
      </c>
      <c r="J6" t="s">
        <v>25</v>
      </c>
    </row>
    <row r="7" spans="1:12" x14ac:dyDescent="0.25">
      <c r="J7" s="57">
        <f>(D26+D27)/B6</f>
        <v>0.84421205895742912</v>
      </c>
      <c r="K7" s="18"/>
    </row>
    <row r="8" spans="1:12" ht="15.75" thickBot="1" x14ac:dyDescent="0.3">
      <c r="A8" s="2" t="s">
        <v>26</v>
      </c>
    </row>
    <row r="9" spans="1:12" s="3" customFormat="1" ht="30.75" thickBot="1" x14ac:dyDescent="0.3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25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1.1896547621880131</v>
      </c>
      <c r="H10" s="49">
        <v>81.260000000000005</v>
      </c>
      <c r="I10" s="4"/>
      <c r="J10" s="9">
        <f>D10*E10*G10*H10</f>
        <v>6670322.8723024586</v>
      </c>
      <c r="K10" s="54">
        <v>0.601316268030611</v>
      </c>
      <c r="L10" s="20">
        <f t="shared" ref="L10:L13" si="0">J10/$B$6</f>
        <v>0.59498103046122941</v>
      </c>
    </row>
    <row r="11" spans="1:12" x14ac:dyDescent="0.25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1.3722503533544661</v>
      </c>
      <c r="H11" s="49">
        <v>61.89</v>
      </c>
      <c r="I11" s="4"/>
      <c r="J11" s="9">
        <f t="shared" ref="J11" si="1">D11*E11*G11*H11</f>
        <v>594500.02058375534</v>
      </c>
      <c r="K11" s="54">
        <v>5.4105653370110397E-2</v>
      </c>
      <c r="L11" s="20">
        <f t="shared" si="0"/>
        <v>5.3028352844042954E-2</v>
      </c>
    </row>
    <row r="12" spans="1:12" x14ac:dyDescent="0.25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</v>
      </c>
      <c r="I12" s="4"/>
      <c r="J12" s="9">
        <f>D12*E12*H12</f>
        <v>2673000</v>
      </c>
      <c r="K12" s="54">
        <v>0.24581910050991199</v>
      </c>
      <c r="L12" s="20">
        <f t="shared" si="0"/>
        <v>0.23842688350615002</v>
      </c>
    </row>
    <row r="13" spans="1:12" x14ac:dyDescent="0.25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23.81</v>
      </c>
      <c r="I13" s="4"/>
      <c r="J13" s="9">
        <f>D13*E13*H13</f>
        <v>476200</v>
      </c>
      <c r="K13" s="54">
        <v>4.2069412797975901E-2</v>
      </c>
      <c r="L13" s="20">
        <f t="shared" si="0"/>
        <v>4.2476199747709928E-2</v>
      </c>
    </row>
    <row r="14" spans="1:12" ht="15.75" thickBot="1" x14ac:dyDescent="0.3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75</v>
      </c>
      <c r="I14" s="11"/>
      <c r="J14" s="13">
        <f>D14*E14*H14</f>
        <v>600000</v>
      </c>
      <c r="K14" s="55">
        <v>5.6689565291390097E-2</v>
      </c>
      <c r="L14" s="20">
        <f>J14/$B$6</f>
        <v>5.3518941303288443E-2</v>
      </c>
    </row>
    <row r="15" spans="1:12" ht="15.75" thickBot="1" x14ac:dyDescent="0.3">
      <c r="J15" s="33">
        <f>SUM(J10:J14)</f>
        <v>11014022.892886214</v>
      </c>
      <c r="K15" s="34">
        <f>SUM(K10:K14)</f>
        <v>0.99999999999999944</v>
      </c>
      <c r="L15" s="35">
        <f>SUM(L10:L14)</f>
        <v>0.98243140786242078</v>
      </c>
    </row>
    <row r="16" spans="1:12" x14ac:dyDescent="0.25">
      <c r="J16" s="18"/>
      <c r="K16" s="18"/>
    </row>
    <row r="17" spans="1:13" x14ac:dyDescent="0.25">
      <c r="J17" s="18"/>
      <c r="K17" s="18"/>
      <c r="L17" s="18"/>
    </row>
    <row r="18" spans="1:13" ht="15.75" thickBot="1" x14ac:dyDescent="0.3">
      <c r="A18" s="2" t="s">
        <v>12</v>
      </c>
    </row>
    <row r="19" spans="1:13" ht="30.75" thickBot="1" x14ac:dyDescent="0.3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25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1.1893</v>
      </c>
      <c r="I20" s="22"/>
      <c r="J20" s="6">
        <f>D20*E20*H20</f>
        <v>5351850</v>
      </c>
      <c r="K20" s="26">
        <f>SUM(K10:K10)</f>
        <v>0.601316268030611</v>
      </c>
      <c r="L20" s="24">
        <f>SUM(J20:J22)/$B$6</f>
        <v>0.59340395550749359</v>
      </c>
      <c r="M20" s="18"/>
    </row>
    <row r="21" spans="1:13" x14ac:dyDescent="0.25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1.1896547621880131</v>
      </c>
      <c r="H21" s="4"/>
      <c r="I21" s="4"/>
      <c r="J21" s="6">
        <f>D21*G21</f>
        <v>0</v>
      </c>
      <c r="K21" s="26"/>
      <c r="L21" s="24"/>
    </row>
    <row r="22" spans="1:13" ht="15.75" thickBot="1" x14ac:dyDescent="0.3">
      <c r="A22" s="64" t="s">
        <v>36</v>
      </c>
      <c r="B22" s="12"/>
      <c r="C22" s="12"/>
      <c r="D22" s="52">
        <v>1093420</v>
      </c>
      <c r="E22" s="25">
        <v>1</v>
      </c>
      <c r="F22" s="11" t="s">
        <v>4</v>
      </c>
      <c r="G22" s="61">
        <v>1.1896547621880131</v>
      </c>
      <c r="H22" s="11"/>
      <c r="I22" s="11"/>
      <c r="J22" s="13">
        <f>D22*G22</f>
        <v>1300792.3100716174</v>
      </c>
      <c r="K22" s="27"/>
      <c r="L22" s="28"/>
    </row>
    <row r="23" spans="1:13" x14ac:dyDescent="0.25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1.3722503533544661</v>
      </c>
      <c r="H23" s="7"/>
      <c r="I23" s="7"/>
      <c r="J23" s="9">
        <f>D23*G23</f>
        <v>0</v>
      </c>
      <c r="K23" s="69">
        <f>K11</f>
        <v>5.4105653370110397E-2</v>
      </c>
      <c r="L23" s="69">
        <f>(SUM(J23:J24))/B6</f>
        <v>4.3866723529712583E-2</v>
      </c>
    </row>
    <row r="24" spans="1:13" ht="15.75" thickBot="1" x14ac:dyDescent="0.3">
      <c r="A24" s="64" t="s">
        <v>38</v>
      </c>
      <c r="B24" s="11"/>
      <c r="C24" s="11"/>
      <c r="D24" s="52">
        <v>358381.5</v>
      </c>
      <c r="E24" s="25">
        <v>1</v>
      </c>
      <c r="F24" s="11" t="s">
        <v>22</v>
      </c>
      <c r="G24" s="61">
        <v>1.3722503533544661</v>
      </c>
      <c r="H24" s="11"/>
      <c r="I24" s="11"/>
      <c r="J24" s="13">
        <f>D24*G24</f>
        <v>491789.14001070359</v>
      </c>
      <c r="K24" s="27"/>
      <c r="L24" s="27"/>
    </row>
    <row r="25" spans="1:13" x14ac:dyDescent="0.25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-5351850</v>
      </c>
      <c r="K25" s="65">
        <f>SUM(K12:K14)</f>
        <v>0.34457807859927797</v>
      </c>
      <c r="L25" s="20">
        <f>SUM(J25:J29)/$B$6</f>
        <v>0.36288314510388792</v>
      </c>
    </row>
    <row r="26" spans="1:13" x14ac:dyDescent="0.25">
      <c r="A26" s="5" t="s">
        <v>13</v>
      </c>
      <c r="B26" s="5"/>
      <c r="C26" s="5"/>
      <c r="D26" s="49">
        <v>1586562.36</v>
      </c>
      <c r="E26" s="23">
        <v>1</v>
      </c>
      <c r="F26" s="7" t="s">
        <v>5</v>
      </c>
      <c r="G26" s="7"/>
      <c r="H26" s="4"/>
      <c r="I26" s="4"/>
      <c r="J26" s="6">
        <f>D26</f>
        <v>1586562.36</v>
      </c>
      <c r="K26" s="4"/>
      <c r="L26" s="4"/>
    </row>
    <row r="27" spans="1:13" x14ac:dyDescent="0.25">
      <c r="A27" s="5" t="s">
        <v>14</v>
      </c>
      <c r="B27" s="5"/>
      <c r="C27" s="5"/>
      <c r="D27" s="49">
        <v>7877885.6100000003</v>
      </c>
      <c r="E27" s="23">
        <v>1</v>
      </c>
      <c r="F27" s="7" t="s">
        <v>5</v>
      </c>
      <c r="G27" s="7"/>
      <c r="H27" s="4"/>
      <c r="I27" s="4"/>
      <c r="J27" s="6">
        <f>D27-J24-J22</f>
        <v>6085304.1599176796</v>
      </c>
      <c r="K27" s="4"/>
      <c r="L27" s="4"/>
    </row>
    <row r="28" spans="1:13" x14ac:dyDescent="0.25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.75" thickBot="1" x14ac:dyDescent="0.3">
      <c r="A29" s="12" t="s">
        <v>23</v>
      </c>
      <c r="B29" s="12"/>
      <c r="C29" s="12"/>
      <c r="D29" s="30">
        <v>1748260.65</v>
      </c>
      <c r="E29" s="25">
        <v>1</v>
      </c>
      <c r="F29" s="11" t="s">
        <v>5</v>
      </c>
      <c r="G29" s="11"/>
      <c r="H29" s="11"/>
      <c r="I29" s="11"/>
      <c r="J29" s="13">
        <f>D29</f>
        <v>1748260.65</v>
      </c>
      <c r="K29" s="11"/>
      <c r="L29" s="11"/>
    </row>
    <row r="30" spans="1:13" ht="15.75" thickBot="1" x14ac:dyDescent="0.3">
      <c r="A30" s="1"/>
      <c r="B30" s="1"/>
      <c r="C30" s="1"/>
      <c r="D30" s="36"/>
      <c r="E30" s="1"/>
      <c r="J30" s="33">
        <f>SUM(J20:J29)</f>
        <v>11212708.620000001</v>
      </c>
      <c r="K30" s="42">
        <f>SUM(K20:K29)</f>
        <v>0.99999999999999933</v>
      </c>
      <c r="L30" s="42">
        <f>SUM(L20:L29)</f>
        <v>1.0001538241410941</v>
      </c>
    </row>
    <row r="31" spans="1:13" x14ac:dyDescent="0.25">
      <c r="A31" s="1"/>
      <c r="B31" s="36"/>
      <c r="C31" s="1"/>
      <c r="D31" s="1"/>
      <c r="E31" s="1"/>
    </row>
    <row r="32" spans="1:13" x14ac:dyDescent="0.25">
      <c r="A32" s="1"/>
      <c r="B32" s="1"/>
      <c r="C32" s="1"/>
      <c r="D32" s="1"/>
      <c r="E32" s="1"/>
    </row>
    <row r="33" spans="1:12" ht="15.75" thickBot="1" x14ac:dyDescent="0.3">
      <c r="A33" s="2" t="s">
        <v>16</v>
      </c>
    </row>
    <row r="34" spans="1:12" ht="30.75" thickBot="1" x14ac:dyDescent="0.3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25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1.1893</v>
      </c>
      <c r="I35" s="22"/>
      <c r="J35" s="6">
        <f>J20</f>
        <v>5351850</v>
      </c>
      <c r="K35" s="26">
        <f>SUM(K10:K10)</f>
        <v>0.601316268030611</v>
      </c>
      <c r="L35" s="24">
        <f>SUM(J35:J37)/$B$6</f>
        <v>0.59340395550749359</v>
      </c>
    </row>
    <row r="36" spans="1:12" x14ac:dyDescent="0.25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.75" thickBot="1" x14ac:dyDescent="0.3">
      <c r="A37" s="11" t="s">
        <v>36</v>
      </c>
      <c r="B37" s="11"/>
      <c r="C37" s="11"/>
      <c r="D37" s="29">
        <v>1093420</v>
      </c>
      <c r="E37" s="25"/>
      <c r="F37" s="11" t="s">
        <v>4</v>
      </c>
      <c r="G37" s="11"/>
      <c r="H37" s="11"/>
      <c r="I37" s="11"/>
      <c r="J37" s="29">
        <f>J22</f>
        <v>1300792.3100716174</v>
      </c>
      <c r="K37" s="27"/>
      <c r="L37" s="28"/>
    </row>
    <row r="38" spans="1:12" x14ac:dyDescent="0.25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5.4105653370110397E-2</v>
      </c>
      <c r="L38" s="69">
        <f>(SUM(J38:J39))/$B$6</f>
        <v>4.3866723529712583E-2</v>
      </c>
    </row>
    <row r="39" spans="1:12" ht="15.75" thickBot="1" x14ac:dyDescent="0.3">
      <c r="A39" s="11" t="s">
        <v>38</v>
      </c>
      <c r="B39" s="11"/>
      <c r="C39" s="11"/>
      <c r="D39" s="29">
        <v>358381.5</v>
      </c>
      <c r="E39" s="25"/>
      <c r="F39" s="11" t="s">
        <v>22</v>
      </c>
      <c r="G39" s="11"/>
      <c r="H39" s="11"/>
      <c r="I39" s="11"/>
      <c r="J39" s="29">
        <f>J24</f>
        <v>491789.14001070359</v>
      </c>
      <c r="K39" s="27"/>
      <c r="L39" s="27"/>
    </row>
    <row r="40" spans="1:12" ht="15.75" thickBot="1" x14ac:dyDescent="0.3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4068277.1699176799</v>
      </c>
      <c r="K40" s="71">
        <f>K25</f>
        <v>0.34457807859927797</v>
      </c>
      <c r="L40" s="71">
        <f>L25</f>
        <v>0.36288314510388792</v>
      </c>
    </row>
    <row r="41" spans="1:12" ht="15.75" thickBot="1" x14ac:dyDescent="0.3">
      <c r="A41" s="1"/>
      <c r="B41" s="1"/>
      <c r="C41" s="1"/>
      <c r="D41" s="1"/>
      <c r="E41" s="1"/>
      <c r="J41" s="33">
        <f>SUM(J35:J40)</f>
        <v>11212708.620000001</v>
      </c>
      <c r="K41" s="42">
        <f>SUM(K35:K40)</f>
        <v>0.99999999999999933</v>
      </c>
      <c r="L41" s="42">
        <f>SUM(L35:L40)</f>
        <v>1.0001538241410941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2026-02-01T23:52:30Z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