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EE28460-935B-43A9-ACAA-8A095FFB7F40}" xr6:coauthVersionLast="47" xr6:coauthVersionMax="47" xr10:uidLastSave="{199AAE31-7F5D-4048-806B-DE04FA7B6F80}"/>
  <bookViews>
    <workbookView xWindow="29310" yWindow="1245" windowWidth="14235" windowHeight="117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<sst xmlns="http://schemas.openxmlformats.org/spreadsheetml/2006/main" count="91" uniqueCount="51">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</sst>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5" customHeight="1" x14ac:dyDescent="0.35">
      <c r="A2" t="s">
        <v>50</v>
      </c>
      <c r="J2" s="48"/>
      <c r="K2" s="49"/>
      <c r="L2" s="50"/>
    </row>
    <row r="3" spans="1:12" x14ac:dyDescent="0.35">
      <c r="A3" t="s">
        <v>15</v>
      </c>
      <c r="B3" s="62">
        <v>45610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2">
        <v>0</v>
      </c>
    </row>
    <row r="6" spans="1:12" x14ac:dyDescent="0.35">
      <c r="A6" s="3" t="s">
        <v>19</v>
      </c>
      <c r="B6" s="39">
        <v>11984885.27</v>
      </c>
      <c r="J6" t="s">
        <v>27</v>
      </c>
    </row>
    <row r="7" spans="1:12" x14ac:dyDescent="0.35">
      <c r="J7" s="63">
        <f>(D25+D26)/B6</f>
        <v>0.94820384959763571</v>
      </c>
      <c r="K7" s="19"/>
    </row>
    <row r="8" spans="1:12" ht="15" thickBot="1" x14ac:dyDescent="0.4">
      <c r="A8" s="3" t="s">
        <v>34</v>
      </c>
    </row>
    <row r="9" spans="1:12" s="4" customFormat="1" ht="29.5" thickBot="1" x14ac:dyDescent="0.4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5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1.0575967172197898</v>
      </c>
      <c r="H10" s="54">
        <v>68.27</v>
      </c>
      <c r="I10" s="5"/>
      <c r="J10" s="10">
        <f>D10*E10*G10*H10</f>
        <v>6425989.3817289593</v>
      </c>
      <c r="K10" s="60">
        <v>0.55161307449821095</v>
      </c>
      <c r="L10" s="21">
        <f t="shared" ref="L10:L14" si="0">J10/$B$6</f>
        <v>0.53617445949309117</v>
      </c>
    </row>
    <row r="11" spans="1:12" x14ac:dyDescent="0.35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1.0575967172197898</v>
      </c>
      <c r="H11" s="54">
        <v>70.31</v>
      </c>
      <c r="I11" s="5"/>
      <c r="J11" s="10">
        <f t="shared" ref="J11:J12" si="1">D11*E11*G11*H11</f>
        <v>594877.00150178734</v>
      </c>
      <c r="K11" s="60">
        <v>4.9552005300672899E-2</v>
      </c>
      <c r="L11" s="21">
        <f t="shared" si="0"/>
        <v>4.963560251935456E-2</v>
      </c>
    </row>
    <row r="12" spans="1:12" x14ac:dyDescent="0.35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1.2709064104519343</v>
      </c>
      <c r="H12" s="54">
        <v>38.24</v>
      </c>
      <c r="I12" s="5"/>
      <c r="J12" s="10">
        <f t="shared" si="1"/>
        <v>485994.61135681969</v>
      </c>
      <c r="K12" s="60">
        <v>4.3871812413474202E-2</v>
      </c>
      <c r="L12" s="21">
        <f t="shared" si="0"/>
        <v>4.0550626927847069E-2</v>
      </c>
    </row>
    <row r="13" spans="1:12" x14ac:dyDescent="0.35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34.51</v>
      </c>
      <c r="I13" s="5"/>
      <c r="J13" s="10">
        <f>D13*E13*H13</f>
        <v>2795310</v>
      </c>
      <c r="K13" s="60">
        <v>0.247315703290164</v>
      </c>
      <c r="L13" s="21">
        <f t="shared" si="0"/>
        <v>0.2332362752772518</v>
      </c>
    </row>
    <row r="14" spans="1:12" x14ac:dyDescent="0.35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36.54</v>
      </c>
      <c r="I14" s="5"/>
      <c r="J14" s="10">
        <f>D14*E14*H14</f>
        <v>548100</v>
      </c>
      <c r="K14" s="60">
        <v>4.8980069452554703E-2</v>
      </c>
      <c r="L14" s="21">
        <f t="shared" si="0"/>
        <v>4.5732602995539565E-2</v>
      </c>
    </row>
    <row r="15" spans="1:12" ht="15" thickBot="1" x14ac:dyDescent="0.4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22.86</v>
      </c>
      <c r="I15" s="12"/>
      <c r="J15" s="14">
        <f>D15*E15*H15</f>
        <v>685800</v>
      </c>
      <c r="K15" s="61">
        <v>5.8667335044922199E-2</v>
      </c>
      <c r="L15" s="21">
        <f>J15/$B$6</f>
        <v>5.7222074684074135E-2</v>
      </c>
    </row>
    <row r="16" spans="1:12" ht="15" thickBot="1" x14ac:dyDescent="0.4">
      <c r="J16" s="35">
        <f>SUM(J10:J15)</f>
        <v>11536070.994587567</v>
      </c>
      <c r="K16" s="36">
        <f>SUM(K10:K15)</f>
        <v>0.99999999999999889</v>
      </c>
      <c r="L16" s="37">
        <f>SUM(L10:L15)</f>
        <v>0.96255164189715836</v>
      </c>
    </row>
    <row r="17" spans="1:13" x14ac:dyDescent="0.35">
      <c r="J17" s="19"/>
      <c r="K17" s="19"/>
    </row>
    <row r="18" spans="1:13" x14ac:dyDescent="0.35">
      <c r="J18" s="19"/>
      <c r="K18" s="19"/>
      <c r="L18" s="19"/>
    </row>
    <row r="19" spans="1:13" ht="15" thickBot="1" x14ac:dyDescent="0.4">
      <c r="A19" s="3" t="s">
        <v>12</v>
      </c>
    </row>
    <row r="20" spans="1:13" ht="29.5" thickBot="1" x14ac:dyDescent="0.4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5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1.056</v>
      </c>
      <c r="I21" s="23"/>
      <c r="J21" s="7">
        <f>D21*E21*H21</f>
        <v>6864000</v>
      </c>
      <c r="K21" s="27">
        <f>SUM(K10:K11)</f>
        <v>0.60116507979888389</v>
      </c>
      <c r="L21" s="25">
        <f>SUM(J21:J22)/$B$6</f>
        <v>0.57272137741540519</v>
      </c>
      <c r="M21" s="19"/>
    </row>
    <row r="22" spans="1:13" ht="15" thickBot="1" x14ac:dyDescent="0.4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1.0575967172197898</v>
      </c>
      <c r="H22" s="12"/>
      <c r="I22" s="12"/>
      <c r="J22" s="14">
        <f>D22*G22</f>
        <v>0</v>
      </c>
      <c r="K22" s="28"/>
      <c r="L22" s="30"/>
    </row>
    <row r="23" spans="1:13" ht="15" thickBot="1" x14ac:dyDescent="0.4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1.2709064104519343</v>
      </c>
      <c r="H23" s="41"/>
      <c r="I23" s="41"/>
      <c r="J23" s="43">
        <f>D23*G23</f>
        <v>0</v>
      </c>
      <c r="K23" s="44">
        <f>K12</f>
        <v>4.3871812413474202E-2</v>
      </c>
      <c r="L23" s="44">
        <f>J23/B6</f>
        <v>0</v>
      </c>
    </row>
    <row r="24" spans="1:13" x14ac:dyDescent="0.35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-6864000</v>
      </c>
      <c r="K24" s="29">
        <f>SUM(K13:K15)</f>
        <v>0.3549631077876409</v>
      </c>
      <c r="L24" s="25">
        <f>SUM(J24:J28)/$B$6</f>
        <v>0.42725933996362736</v>
      </c>
    </row>
    <row r="25" spans="1:13" x14ac:dyDescent="0.35">
      <c r="A25" s="6" t="s">
        <v>13</v>
      </c>
      <c r="B25" s="6"/>
      <c r="C25" s="6"/>
      <c r="D25" s="54">
        <v>1938549.56</v>
      </c>
      <c r="E25" s="24">
        <v>1</v>
      </c>
      <c r="F25" s="8" t="s">
        <v>5</v>
      </c>
      <c r="G25" s="8"/>
      <c r="H25" s="5"/>
      <c r="I25" s="5"/>
      <c r="J25" s="7">
        <f>D25</f>
        <v>1938549.56</v>
      </c>
      <c r="K25" s="5"/>
      <c r="L25" s="5"/>
    </row>
    <row r="26" spans="1:13" x14ac:dyDescent="0.35">
      <c r="A26" s="6" t="s">
        <v>14</v>
      </c>
      <c r="B26" s="6"/>
      <c r="C26" s="6"/>
      <c r="D26" s="54">
        <v>9425564.7899999991</v>
      </c>
      <c r="E26" s="24">
        <v>1</v>
      </c>
      <c r="F26" s="8" t="s">
        <v>5</v>
      </c>
      <c r="G26" s="8"/>
      <c r="H26" s="5"/>
      <c r="I26" s="5"/>
      <c r="J26" s="7">
        <f>D26</f>
        <v>9425564.7899999991</v>
      </c>
      <c r="K26" s="5"/>
      <c r="L26" s="5"/>
    </row>
    <row r="27" spans="1:13" x14ac:dyDescent="0.35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4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4">
      <c r="A29" s="1"/>
      <c r="B29" s="1"/>
      <c r="C29" s="1"/>
      <c r="D29" s="38"/>
      <c r="E29" s="1"/>
      <c r="J29" s="35">
        <f>SUM(J21:J28)</f>
        <v>11984654.17</v>
      </c>
      <c r="K29" s="46">
        <f>SUM(K21:K28)</f>
        <v>0.99999999999999889</v>
      </c>
      <c r="L29" s="46">
        <f>SUM(L21:L28)</f>
        <v>0.99998071737903249</v>
      </c>
    </row>
    <row r="30" spans="1:13" x14ac:dyDescent="0.35">
      <c r="A30" s="1"/>
      <c r="B30" s="38"/>
      <c r="C30" s="1"/>
      <c r="D30" s="1"/>
      <c r="E30" s="1"/>
    </row>
    <row r="31" spans="1:13" x14ac:dyDescent="0.35">
      <c r="A31" s="1"/>
      <c r="B31" s="1"/>
      <c r="C31" s="1"/>
      <c r="D31" s="1"/>
      <c r="E31" s="1"/>
    </row>
    <row r="32" spans="1:13" ht="15" thickBot="1" x14ac:dyDescent="0.4">
      <c r="A32" s="3" t="s">
        <v>16</v>
      </c>
    </row>
    <row r="33" spans="1:12" ht="29.5" thickBot="1" x14ac:dyDescent="0.4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5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1.056</v>
      </c>
      <c r="I34" s="23"/>
      <c r="J34" s="7">
        <f>J21</f>
        <v>6864000</v>
      </c>
      <c r="K34" s="27">
        <f>SUM(K10:K11)</f>
        <v>0.60116507979888389</v>
      </c>
      <c r="L34" s="25">
        <f>SUM(J34:J35)/$B$6</f>
        <v>0.57272137741540519</v>
      </c>
    </row>
    <row r="35" spans="1:12" ht="15" thickBot="1" x14ac:dyDescent="0.4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4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4.3871812413474202E-2</v>
      </c>
      <c r="L36" s="44">
        <f>J36/$B$6</f>
        <v>0</v>
      </c>
    </row>
    <row r="37" spans="1:12" ht="15" thickBot="1" x14ac:dyDescent="0.4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5120654.17</v>
      </c>
      <c r="K37" s="67">
        <f>K24</f>
        <v>0.3549631077876409</v>
      </c>
      <c r="L37" s="67">
        <f>L24</f>
        <v>0.42725933996362736</v>
      </c>
    </row>
    <row r="38" spans="1:12" ht="15" thickBot="1" x14ac:dyDescent="0.4">
      <c r="A38" s="1"/>
      <c r="B38" s="1"/>
      <c r="C38" s="1"/>
      <c r="D38" s="1"/>
      <c r="E38" s="1"/>
      <c r="J38" s="35">
        <f>SUM(J34:J37)</f>
        <v>11984654.17</v>
      </c>
      <c r="K38" s="46">
        <f>SUM(K34:K37)</f>
        <v>0.99999999999999889</v>
      </c>
      <c r="L38" s="46">
        <f>SUM(L34:L37)</f>
        <v>0.99998071737903249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2024-11-15T14:30:16Z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