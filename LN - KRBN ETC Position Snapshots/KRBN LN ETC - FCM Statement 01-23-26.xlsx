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346D7B97-7B55-427E-B3E4-8B78ACFEC220}" xr6:coauthVersionLast="47" xr6:coauthVersionMax="47" xr10:uidLastSave="{411900EC-841D-4135-A206-3D8CFEE78C85}"/>
  <bookViews>
    <workbookView xWindow="29340" yWindow="4365" windowWidth="22080" windowHeight="9750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9" i="1" l="1"/>
  <c r="K38" i="1"/>
  <c r="K35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<sst xmlns="http://schemas.openxmlformats.org/spreadsheetml/2006/main" count="95" uniqueCount="50">
  <si>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</si>
  <si>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</si>
  <si>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</si>
  <si>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</si>
  <si>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</si>
  <si>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</si>
  <si>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</si>
  <si>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</si>
  <si>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</si>
  <si>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</si>
  <si>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</si>
  <si>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</si>
  <si>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</si>
  <si>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</si>
  <si>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</si>
  <si>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</si>
  <si>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</si>
  <si>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</si>
  <si>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</si>
  <si>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</si>
  <si>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</si>
  <si>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</si>
  <si>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</si>
  <si>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</si>
  <si>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</si>
  <si>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</si>
  <si>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</si>
  <si>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</si>
  <si>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</si>
  <si>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</si>
  <si>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</si>
  <si>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</si>
  <si>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</si>
  <si>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</si>
  <si>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</si>
  <si>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</si>
  <si>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</si>
  <si>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</si>
  <si>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</si>
  <si>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</si>
  <si>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</si>
  <si>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</si>
  <si>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</si>
  <si>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</si>
  <si>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</si>
  <si>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</si>
  <si>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</si>
  <si>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</si>
  <si>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ECH6 Curncy</t>
  </si>
  <si>
    <t>EURO FX CURR FUT  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</si>
</sst>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46045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74">
        <v>0</v>
      </c>
    </row>
    <row r="6" spans="1:12" x14ac:dyDescent="0.3">
      <c r="A6" s="2" t="s">
        <v>19</v>
      </c>
      <c r="B6" s="37">
        <v>11972408.07</v>
      </c>
      <c r="J6" t="s">
        <v>25</v>
      </c>
    </row>
    <row r="7" spans="1:12" x14ac:dyDescent="0.3">
      <c r="J7" s="57">
        <f>(D26+D27)/B6</f>
        <v>0.85574603622744705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69</v>
      </c>
      <c r="E10" s="46">
        <v>1000</v>
      </c>
      <c r="F10" s="4" t="s">
        <v>4</v>
      </c>
      <c r="G10" s="62">
        <v>1.1757513050839485</v>
      </c>
      <c r="H10" s="49">
        <v>88.4</v>
      </c>
      <c r="I10" s="4"/>
      <c r="J10" s="9">
        <f>D10*E10*G10*H10</f>
        <v>7171612.6604900537</v>
      </c>
      <c r="K10" s="54">
        <v>0.606942086875361</v>
      </c>
      <c r="L10" s="20">
        <f t="shared" ref="L10:L13" si="0">J10/$B$6</f>
        <v>0.59901171247749274</v>
      </c>
    </row>
    <row r="11" spans="1:12" x14ac:dyDescent="0.3">
      <c r="A11" s="4" t="s">
        <v>39</v>
      </c>
      <c r="B11" s="5" t="s">
        <v>40</v>
      </c>
      <c r="C11" s="8" t="s">
        <v>41</v>
      </c>
      <c r="D11" s="48">
        <v>7</v>
      </c>
      <c r="E11" s="46">
        <v>1000</v>
      </c>
      <c r="F11" s="4" t="s">
        <v>22</v>
      </c>
      <c r="G11" s="62">
        <v>1.356391997287216</v>
      </c>
      <c r="H11" s="49">
        <v>68.319999999999993</v>
      </c>
      <c r="I11" s="4"/>
      <c r="J11" s="9">
        <f t="shared" ref="J11" si="1">D11*E11*G11*H11</f>
        <v>648680.90878263803</v>
      </c>
      <c r="K11" s="54">
        <v>5.5423970797404701E-2</v>
      </c>
      <c r="L11" s="20">
        <f t="shared" si="0"/>
        <v>5.418132300452385E-2</v>
      </c>
    </row>
    <row r="12" spans="1:12" x14ac:dyDescent="0.3">
      <c r="A12" s="4" t="s">
        <v>32</v>
      </c>
      <c r="B12" s="5" t="s">
        <v>33</v>
      </c>
      <c r="C12" s="8" t="s">
        <v>34</v>
      </c>
      <c r="D12" s="48">
        <v>90</v>
      </c>
      <c r="E12" s="46">
        <v>1000</v>
      </c>
      <c r="F12" s="4" t="s">
        <v>5</v>
      </c>
      <c r="G12" s="47"/>
      <c r="H12" s="49">
        <v>31.19</v>
      </c>
      <c r="I12" s="4"/>
      <c r="J12" s="9">
        <f>D12*E12*H12</f>
        <v>2807100</v>
      </c>
      <c r="K12" s="54">
        <v>0.24235256764820501</v>
      </c>
      <c r="L12" s="20">
        <f t="shared" si="0"/>
        <v>0.23446410977536952</v>
      </c>
    </row>
    <row r="13" spans="1:12" x14ac:dyDescent="0.3">
      <c r="A13" s="4" t="s">
        <v>42</v>
      </c>
      <c r="B13" s="5" t="s">
        <v>43</v>
      </c>
      <c r="C13" s="8" t="s">
        <v>44</v>
      </c>
      <c r="D13" s="48">
        <v>20</v>
      </c>
      <c r="E13" s="46">
        <v>1000</v>
      </c>
      <c r="F13" s="4" t="s">
        <v>5</v>
      </c>
      <c r="G13" s="4"/>
      <c r="H13" s="49">
        <v>25.4</v>
      </c>
      <c r="I13" s="4"/>
      <c r="J13" s="9">
        <f>D13*E13*H13</f>
        <v>508000</v>
      </c>
      <c r="K13" s="54">
        <v>4.2132171768196502E-2</v>
      </c>
      <c r="L13" s="20">
        <f t="shared" si="0"/>
        <v>4.2430895859031641E-2</v>
      </c>
    </row>
    <row r="14" spans="1:12" ht="15" thickBot="1" x14ac:dyDescent="0.35">
      <c r="A14" s="11" t="s">
        <v>45</v>
      </c>
      <c r="B14" s="12" t="s">
        <v>46</v>
      </c>
      <c r="C14" s="12" t="s">
        <v>47</v>
      </c>
      <c r="D14" s="50">
        <v>8</v>
      </c>
      <c r="E14" s="51">
        <v>1000</v>
      </c>
      <c r="F14" s="11" t="s">
        <v>5</v>
      </c>
      <c r="G14" s="11"/>
      <c r="H14" s="52">
        <v>74.900000000000006</v>
      </c>
      <c r="I14" s="11"/>
      <c r="J14" s="13">
        <f>D14*E14*H14</f>
        <v>599200</v>
      </c>
      <c r="K14" s="55">
        <v>5.3149202910832E-2</v>
      </c>
      <c r="L14" s="20">
        <f>J14/$B$6</f>
        <v>5.0048411021125512E-2</v>
      </c>
    </row>
    <row r="15" spans="1:12" ht="15" thickBot="1" x14ac:dyDescent="0.35">
      <c r="J15" s="33">
        <f>SUM(J10:J14)</f>
        <v>11734593.569272691</v>
      </c>
      <c r="K15" s="34">
        <f>SUM(K10:K14)</f>
        <v>0.99999999999999922</v>
      </c>
      <c r="L15" s="35">
        <f>SUM(L10:L14)</f>
        <v>0.98013645213754319</v>
      </c>
    </row>
    <row r="16" spans="1:12" x14ac:dyDescent="0.3">
      <c r="J16" s="18"/>
      <c r="K16" s="18"/>
    </row>
    <row r="17" spans="1:13" x14ac:dyDescent="0.3">
      <c r="J17" s="18"/>
      <c r="K17" s="18"/>
      <c r="L17" s="18"/>
    </row>
    <row r="18" spans="1:13" ht="15" thickBot="1" x14ac:dyDescent="0.35">
      <c r="A18" s="2" t="s">
        <v>12</v>
      </c>
    </row>
    <row r="19" spans="1:13" ht="29.4" thickBot="1" x14ac:dyDescent="0.35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">
      <c r="A20" s="4" t="s">
        <v>8</v>
      </c>
      <c r="B20" s="5" t="s">
        <v>48</v>
      </c>
      <c r="C20" s="5" t="s">
        <v>49</v>
      </c>
      <c r="D20" s="48">
        <v>36</v>
      </c>
      <c r="E20" s="46">
        <v>125000</v>
      </c>
      <c r="F20" s="4" t="s">
        <v>5</v>
      </c>
      <c r="G20" s="22"/>
      <c r="H20" s="53">
        <v>1.1840000000000002</v>
      </c>
      <c r="I20" s="22"/>
      <c r="J20" s="6">
        <f>D20*E20*H20</f>
        <v>5328000.0000000009</v>
      </c>
      <c r="K20" s="26">
        <f>SUM(K10:K10)</f>
        <v>0.606942086875361</v>
      </c>
      <c r="L20" s="24">
        <f>SUM(J20:J22)/$B$6</f>
        <v>0.60078436918560107</v>
      </c>
      <c r="M20" s="18"/>
    </row>
    <row r="21" spans="1:13" x14ac:dyDescent="0.3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1.1757513050839485</v>
      </c>
      <c r="H21" s="4"/>
      <c r="I21" s="4"/>
      <c r="J21" s="6">
        <f>D21*G21</f>
        <v>0</v>
      </c>
      <c r="K21" s="26"/>
      <c r="L21" s="24"/>
    </row>
    <row r="22" spans="1:13" ht="15" thickBot="1" x14ac:dyDescent="0.35">
      <c r="A22" s="64" t="s">
        <v>36</v>
      </c>
      <c r="B22" s="12"/>
      <c r="C22" s="12"/>
      <c r="D22" s="52">
        <v>1586080</v>
      </c>
      <c r="E22" s="25">
        <v>1</v>
      </c>
      <c r="F22" s="11" t="s">
        <v>4</v>
      </c>
      <c r="G22" s="61">
        <v>1.1757513050839485</v>
      </c>
      <c r="H22" s="11"/>
      <c r="I22" s="11"/>
      <c r="J22" s="13">
        <f>D22*G22</f>
        <v>1864835.6299675491</v>
      </c>
      <c r="K22" s="27"/>
      <c r="L22" s="28"/>
    </row>
    <row r="23" spans="1:13" x14ac:dyDescent="0.3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1.356391997287216</v>
      </c>
      <c r="H23" s="7"/>
      <c r="I23" s="7"/>
      <c r="J23" s="9">
        <f>D23*G23</f>
        <v>0</v>
      </c>
      <c r="K23" s="69">
        <f>K11</f>
        <v>5.5423970797404701E-2</v>
      </c>
      <c r="L23" s="69">
        <f>(SUM(J23:J24))/B6</f>
        <v>4.5701499579247643E-2</v>
      </c>
    </row>
    <row r="24" spans="1:13" ht="15" thickBot="1" x14ac:dyDescent="0.35">
      <c r="A24" s="64" t="s">
        <v>38</v>
      </c>
      <c r="B24" s="11"/>
      <c r="C24" s="11"/>
      <c r="D24" s="52">
        <v>403391.5</v>
      </c>
      <c r="E24" s="25">
        <v>1</v>
      </c>
      <c r="F24" s="11" t="s">
        <v>22</v>
      </c>
      <c r="G24" s="61">
        <v>1.356391997287216</v>
      </c>
      <c r="H24" s="11"/>
      <c r="I24" s="11"/>
      <c r="J24" s="13">
        <f>D24*G24</f>
        <v>547157.00237368606</v>
      </c>
      <c r="K24" s="27"/>
      <c r="L24" s="27"/>
    </row>
    <row r="25" spans="1:13" x14ac:dyDescent="0.3">
      <c r="A25" s="7" t="s">
        <v>8</v>
      </c>
      <c r="B25" s="8" t="s">
        <v>48</v>
      </c>
      <c r="C25" s="8" t="s">
        <v>49</v>
      </c>
      <c r="D25" s="46">
        <v>-36</v>
      </c>
      <c r="E25" s="23">
        <v>-125000</v>
      </c>
      <c r="F25" s="7" t="s">
        <v>5</v>
      </c>
      <c r="G25" s="7"/>
      <c r="H25" s="7"/>
      <c r="I25" s="7"/>
      <c r="J25" s="9">
        <f>-J20</f>
        <v>-5328000.0000000009</v>
      </c>
      <c r="K25" s="65">
        <f>SUM(K12:K14)</f>
        <v>0.33763394232723354</v>
      </c>
      <c r="L25" s="20">
        <f>SUM(J25:J29)/$B$6</f>
        <v>0.35490966418911624</v>
      </c>
    </row>
    <row r="26" spans="1:13" x14ac:dyDescent="0.3">
      <c r="A26" s="5" t="s">
        <v>13</v>
      </c>
      <c r="B26" s="5"/>
      <c r="C26" s="5"/>
      <c r="D26" s="49">
        <v>1597543.1</v>
      </c>
      <c r="E26" s="23">
        <v>1</v>
      </c>
      <c r="F26" s="7" t="s">
        <v>5</v>
      </c>
      <c r="G26" s="7"/>
      <c r="H26" s="4"/>
      <c r="I26" s="4"/>
      <c r="J26" s="6">
        <f>D26</f>
        <v>1597543.1</v>
      </c>
      <c r="K26" s="4"/>
      <c r="L26" s="4"/>
    </row>
    <row r="27" spans="1:13" x14ac:dyDescent="0.3">
      <c r="A27" s="5" t="s">
        <v>14</v>
      </c>
      <c r="B27" s="5"/>
      <c r="C27" s="5"/>
      <c r="D27" s="49">
        <v>8647797.6500000004</v>
      </c>
      <c r="E27" s="23">
        <v>1</v>
      </c>
      <c r="F27" s="7" t="s">
        <v>5</v>
      </c>
      <c r="G27" s="7"/>
      <c r="H27" s="4"/>
      <c r="I27" s="4"/>
      <c r="J27" s="6">
        <f>D27-J24-J22</f>
        <v>6235805.0176587654</v>
      </c>
      <c r="K27" s="4"/>
      <c r="L27" s="4"/>
    </row>
    <row r="28" spans="1:13" x14ac:dyDescent="0.3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35">
      <c r="A29" s="12" t="s">
        <v>23</v>
      </c>
      <c r="B29" s="12"/>
      <c r="C29" s="12"/>
      <c r="D29" s="30">
        <v>1743775.21</v>
      </c>
      <c r="E29" s="25">
        <v>1</v>
      </c>
      <c r="F29" s="11" t="s">
        <v>5</v>
      </c>
      <c r="G29" s="11"/>
      <c r="H29" s="11"/>
      <c r="I29" s="11"/>
      <c r="J29" s="13">
        <f>D29</f>
        <v>1743775.21</v>
      </c>
      <c r="K29" s="11"/>
      <c r="L29" s="11"/>
    </row>
    <row r="30" spans="1:13" ht="15" thickBot="1" x14ac:dyDescent="0.35">
      <c r="A30" s="1"/>
      <c r="B30" s="1"/>
      <c r="C30" s="1"/>
      <c r="D30" s="36"/>
      <c r="E30" s="1"/>
      <c r="J30" s="33">
        <f>SUM(J20:J29)</f>
        <v>11989115.960000001</v>
      </c>
      <c r="K30" s="42">
        <f>SUM(K20:K29)</f>
        <v>0.99999999999999922</v>
      </c>
      <c r="L30" s="42">
        <f>SUM(L20:L29)</f>
        <v>1.001395532953965</v>
      </c>
    </row>
    <row r="31" spans="1:13" x14ac:dyDescent="0.3">
      <c r="A31" s="1"/>
      <c r="B31" s="36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2" t="s">
        <v>16</v>
      </c>
    </row>
    <row r="34" spans="1:12" ht="29.4" thickBot="1" x14ac:dyDescent="0.35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">
      <c r="A35" s="22" t="s">
        <v>8</v>
      </c>
      <c r="B35" s="38" t="s">
        <v>48</v>
      </c>
      <c r="C35" s="38" t="s">
        <v>49</v>
      </c>
      <c r="D35" s="23">
        <v>36</v>
      </c>
      <c r="E35" s="23">
        <v>125000</v>
      </c>
      <c r="F35" s="4" t="s">
        <v>5</v>
      </c>
      <c r="G35" s="22"/>
      <c r="H35" s="31">
        <v>1.1840000000000002</v>
      </c>
      <c r="I35" s="22"/>
      <c r="J35" s="6">
        <f>J20</f>
        <v>5328000.0000000009</v>
      </c>
      <c r="K35" s="26">
        <f>SUM(K10:K10)</f>
        <v>0.606942086875361</v>
      </c>
      <c r="L35" s="24">
        <f>SUM(J35:J37)/$B$6</f>
        <v>0.60078436918560107</v>
      </c>
    </row>
    <row r="36" spans="1:12" x14ac:dyDescent="0.3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35">
      <c r="A37" s="11" t="s">
        <v>36</v>
      </c>
      <c r="B37" s="11"/>
      <c r="C37" s="11"/>
      <c r="D37" s="29">
        <v>1586080</v>
      </c>
      <c r="E37" s="25"/>
      <c r="F37" s="11" t="s">
        <v>4</v>
      </c>
      <c r="G37" s="11"/>
      <c r="H37" s="11"/>
      <c r="I37" s="11"/>
      <c r="J37" s="29">
        <f>J22</f>
        <v>1864835.6299675491</v>
      </c>
      <c r="K37" s="27"/>
      <c r="L37" s="28"/>
    </row>
    <row r="38" spans="1:12" x14ac:dyDescent="0.3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5.5423970797404701E-2</v>
      </c>
      <c r="L38" s="69">
        <f>(SUM(J38:J39))/$B$6</f>
        <v>4.5701499579247643E-2</v>
      </c>
    </row>
    <row r="39" spans="1:12" ht="15" thickBot="1" x14ac:dyDescent="0.35">
      <c r="A39" s="11" t="s">
        <v>38</v>
      </c>
      <c r="B39" s="11"/>
      <c r="C39" s="11"/>
      <c r="D39" s="29">
        <v>403391.5</v>
      </c>
      <c r="E39" s="25"/>
      <c r="F39" s="11" t="s">
        <v>22</v>
      </c>
      <c r="G39" s="11"/>
      <c r="H39" s="11"/>
      <c r="I39" s="11"/>
      <c r="J39" s="29">
        <f>J24</f>
        <v>547157.00237368606</v>
      </c>
      <c r="K39" s="27"/>
      <c r="L39" s="27"/>
    </row>
    <row r="40" spans="1:12" ht="15" thickBot="1" x14ac:dyDescent="0.35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4249123.327658765</v>
      </c>
      <c r="K40" s="71">
        <f>K25</f>
        <v>0.33763394232723354</v>
      </c>
      <c r="L40" s="71">
        <f>L25</f>
        <v>0.35490966418911624</v>
      </c>
    </row>
    <row r="41" spans="1:12" ht="15" thickBot="1" x14ac:dyDescent="0.35">
      <c r="A41" s="1"/>
      <c r="B41" s="1"/>
      <c r="C41" s="1"/>
      <c r="D41" s="1"/>
      <c r="E41" s="1"/>
      <c r="J41" s="33">
        <f>SUM(J35:J40)</f>
        <v>11989115.960000001</v>
      </c>
      <c r="K41" s="42">
        <f>SUM(K35:K40)</f>
        <v>0.99999999999999922</v>
      </c>
      <c r="L41" s="42">
        <f>SUM(L35:L40)</f>
        <v>1.001395532953965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2026-01-26T12:31:06Z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