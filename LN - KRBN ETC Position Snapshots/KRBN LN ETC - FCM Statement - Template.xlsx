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690" documentId="13_ncr:1_{B40B2D54-7922-49B3-A111-F87C5B744559}" xr6:coauthVersionLast="47" xr6:coauthVersionMax="47" xr10:uidLastSave="{E2996C23-4B79-4804-913E-44AEF6636811}"/>
  <bookViews>
    <workbookView xWindow="31065" yWindow="4725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1" l="1" a="1"/>
  <c r="B5" i="1" s="1"/>
  <c r="H20" i="1" a="1"/>
  <c r="H20" i="1" l="1"/>
  <c r="C20" i="1" a="1"/>
  <c r="C20" i="1" s="1"/>
  <c r="D39" i="1" l="1"/>
  <c r="K38" i="1"/>
  <c r="D38" i="1"/>
  <c r="D37" i="1"/>
  <c r="D36" i="1"/>
  <c r="K35" i="1"/>
  <c r="K41" i="1" s="1"/>
  <c r="D35" i="1"/>
  <c r="B35" i="1"/>
  <c r="J29" i="1"/>
  <c r="J26" i="1"/>
  <c r="K25" i="1"/>
  <c r="K40" i="1" s="1"/>
  <c r="E25" i="1"/>
  <c r="D25" i="1"/>
  <c r="B25" i="1"/>
  <c r="G24" i="1"/>
  <c r="J24" i="1" s="1"/>
  <c r="K23" i="1"/>
  <c r="G23" i="1"/>
  <c r="J23" i="1" s="1"/>
  <c r="G22" i="1"/>
  <c r="J22" i="1" s="1"/>
  <c r="J37" i="1" s="1"/>
  <c r="G21" i="1"/>
  <c r="J21" i="1" s="1"/>
  <c r="J36" i="1" s="1"/>
  <c r="K20" i="1"/>
  <c r="K30" i="1" s="1"/>
  <c r="B6" i="1" a="1"/>
  <c r="B6" i="1" l="1"/>
  <c r="J27" i="1"/>
  <c r="J39" i="1"/>
  <c r="J38" i="1"/>
  <c r="J20" i="1" l="1"/>
  <c r="H35" i="1"/>
  <c r="K15" i="1"/>
  <c r="J14" i="1"/>
  <c r="J13" i="1"/>
  <c r="J12" i="1"/>
  <c r="J11" i="1"/>
  <c r="J10" i="1"/>
  <c r="J15" i="1" l="1"/>
  <c r="J25" i="1"/>
  <c r="J30" i="1" s="1"/>
  <c r="J35" i="1"/>
  <c r="C35" i="1"/>
  <c r="C25" i="1"/>
  <c r="J40" i="1" l="1"/>
  <c r="J41" i="1" s="1"/>
  <c r="L23" i="1" l="1"/>
  <c r="L38" i="1"/>
  <c r="L10" i="1"/>
  <c r="L12" i="1"/>
  <c r="L13" i="1"/>
  <c r="L14" i="1"/>
  <c r="L11" i="1"/>
  <c r="L20" i="1"/>
  <c r="L35" i="1"/>
  <c r="L25" i="1"/>
  <c r="L40" i="1" s="1"/>
  <c r="L30" i="1" l="1"/>
  <c r="L41" i="1"/>
  <c r="L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Casey</author>
  </authors>
  <commentList>
    <comment ref="B3" authorId="0" shapeId="0" xr:uid="{E9785B84-84FE-4151-B0C2-0CDFB37B851E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StoneX statement date (prior business day)</t>
        </r>
      </text>
    </comment>
    <comment ref="B6" authorId="0" shapeId="0" xr:uid="{81890D34-9364-492C-96E5-9686A8D43274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Bloomberg function</t>
        </r>
      </text>
    </comment>
    <comment ref="D9" authorId="0" shapeId="0" xr:uid="{419C6522-0F31-453D-9B63-7B8FF716DA88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From StoneX statement</t>
        </r>
      </text>
    </comment>
    <comment ref="G9" authorId="0" shapeId="0" xr:uid="{9302FC60-AA19-46A9-9654-F4D023A59B3E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From StoneX statement - "currency conversion rate to US" at the very bottom of the file</t>
        </r>
      </text>
    </comment>
    <comment ref="H9" authorId="0" shapeId="0" xr:uid="{BE147DFE-C2B7-4C36-891D-D1B93AD35C82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From StoneX statement</t>
        </r>
      </text>
    </comment>
    <comment ref="D21" authorId="0" shapeId="0" xr:uid="{BD6CA515-1207-4451-A761-49E797E67B69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From BBH</t>
        </r>
      </text>
    </comment>
    <comment ref="D23" authorId="0" shapeId="0" xr:uid="{CF54AF0D-28BC-4DB5-BE80-EC9AF6FDD4E6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From BBH</t>
        </r>
      </text>
    </comment>
    <comment ref="D26" authorId="0" shapeId="0" xr:uid="{D6827043-178D-43CB-AC55-2C94444435C6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From StoneX statement</t>
        </r>
      </text>
    </comment>
    <comment ref="D27" authorId="0" shapeId="0" xr:uid="{A5EDC1F6-2486-42F2-919F-9E3FFAA26B2A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From StoneX statement</t>
        </r>
      </text>
    </comment>
    <comment ref="D29" authorId="0" shapeId="0" xr:uid="{A58D9038-F1EE-4C74-A62B-5A531D745B5A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From BBH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<sst xmlns="http://schemas.openxmlformats.org/spreadsheetml/2006/main" count="89" uniqueCount="48">
  <si>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</si>
  <si>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</si>
  <si>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</si>
  <si>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</si>
  <si>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</si>
  <si>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</si>
  <si>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</si>
  <si>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</si>
  <si>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</si>
  <si>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</si>
  <si>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</si>
  <si>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</si>
  <si>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</si>
  <si>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</si>
  <si>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</si>
  <si>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</si>
  <si>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</si>
  <si>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</si>
  <si>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</si>
  <si>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</si>
  <si>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</si>
  <si>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</si>
  <si>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</si>
  <si>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</si>
  <si>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</si>
  <si>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Futures</t>
  </si>
  <si>
    <t>TTS23073</t>
  </si>
  <si>
    <t>KRBN LN ETC FCM Statement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</si>
  <si>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</si>
  <si>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</si>
  <si>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</si>
  <si>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</si>
  <si>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</si>
  <si>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</si>
  <si>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</si>
  <si>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</si>
  <si>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</si>
  <si>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</si>
  <si>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</si>
  <si>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</si>
  <si>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</si>
  <si>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</si>
  <si>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</si>
  <si>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</si>
  <si>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</si>
  <si>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</si>
  <si>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</si>
  <si>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ECM6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</si>
</sst>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2" xfId="0" applyBorder="1"/>
    <xf numFmtId="0" fontId="4" fillId="2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quotePrefix="1" applyBorder="1"/>
    <xf numFmtId="43" fontId="0" fillId="0" borderId="6" xfId="1" applyFont="1" applyBorder="1"/>
    <xf numFmtId="0" fontId="4" fillId="3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7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5" xfId="0" applyBorder="1"/>
    <xf numFmtId="164" fontId="1" fillId="0" borderId="2" xfId="1" applyNumberFormat="1" applyFont="1" applyBorder="1"/>
    <xf numFmtId="166" fontId="0" fillId="0" borderId="1" xfId="3" applyNumberFormat="1" applyFont="1" applyBorder="1"/>
    <xf numFmtId="164" fontId="1" fillId="0" borderId="6" xfId="1" applyNumberFormat="1" applyFont="1" applyBorder="1"/>
    <xf numFmtId="166" fontId="0" fillId="0" borderId="1" xfId="1" applyNumberFormat="1" applyFont="1" applyBorder="1"/>
    <xf numFmtId="166" fontId="0" fillId="0" borderId="6" xfId="1" applyNumberFormat="1" applyFont="1" applyBorder="1"/>
    <xf numFmtId="166" fontId="0" fillId="0" borderId="6" xfId="3" applyNumberFormat="1" applyFont="1" applyBorder="1"/>
    <xf numFmtId="43" fontId="1" fillId="0" borderId="6" xfId="1" applyFont="1" applyBorder="1"/>
    <xf numFmtId="14" fontId="0" fillId="5" borderId="0" xfId="0" applyNumberFormat="1" applyFill="1"/>
    <xf numFmtId="164" fontId="2" fillId="5" borderId="1" xfId="1" applyNumberFormat="1" applyFont="1" applyFill="1" applyBorder="1"/>
    <xf numFmtId="164" fontId="2" fillId="5" borderId="6" xfId="1" applyNumberFormat="1" applyFont="1" applyFill="1" applyBorder="1"/>
    <xf numFmtId="43" fontId="2" fillId="5" borderId="1" xfId="1" applyFont="1" applyFill="1" applyBorder="1"/>
    <xf numFmtId="43" fontId="2" fillId="5" borderId="6" xfId="1" applyFont="1" applyFill="1" applyBorder="1"/>
    <xf numFmtId="165" fontId="1" fillId="0" borderId="1" xfId="1" applyNumberFormat="1" applyFont="1" applyBorder="1"/>
    <xf numFmtId="0" fontId="9" fillId="0" borderId="0" xfId="0" applyFont="1"/>
    <xf numFmtId="43" fontId="2" fillId="0" borderId="8" xfId="0" applyNumberFormat="1" applyFont="1" applyBorder="1"/>
    <xf numFmtId="43" fontId="0" fillId="0" borderId="0" xfId="0" quotePrefix="1" applyNumberFormat="1"/>
    <xf numFmtId="0" fontId="0" fillId="5" borderId="0" xfId="0" applyFill="1"/>
    <xf numFmtId="0" fontId="0" fillId="0" borderId="5" xfId="0" quotePrefix="1" applyBorder="1"/>
    <xf numFmtId="0" fontId="0" fillId="0" borderId="9" xfId="0" applyBorder="1"/>
    <xf numFmtId="164" fontId="1" fillId="0" borderId="9" xfId="1" applyNumberFormat="1" applyFont="1" applyBorder="1"/>
    <xf numFmtId="43" fontId="1" fillId="0" borderId="9" xfId="1" applyFont="1" applyBorder="1"/>
    <xf numFmtId="166" fontId="2" fillId="0" borderId="8" xfId="3" applyNumberFormat="1" applyFont="1" applyBorder="1"/>
    <xf numFmtId="10" fontId="0" fillId="0" borderId="0" xfId="3" applyNumberFormat="1" applyFont="1"/>
    <xf numFmtId="43" fontId="2" fillId="5" borderId="5" xfId="1" applyFont="1" applyFill="1" applyBorder="1"/>
    <xf numFmtId="43" fontId="0" fillId="0" borderId="5" xfId="1" applyFont="1" applyBorder="1"/>
    <xf numFmtId="164" fontId="1" fillId="0" borderId="1" xfId="1" applyNumberFormat="1" applyFont="1" applyBorder="1"/>
    <xf numFmtId="167" fontId="0" fillId="0" borderId="6" xfId="0" applyNumberFormat="1" applyBorder="1"/>
    <xf numFmtId="44" fontId="2" fillId="0" borderId="0" xfId="2" applyFont="1"/>
    <xf numFmtId="0" fontId="0" fillId="6" borderId="1" xfId="0" quotePrefix="1" applyFill="1" applyBorder="1"/>
    <xf numFmtId="0" fontId="0" fillId="0" borderId="2" xfId="0" quotePrefix="1" applyBorder="1"/>
    <xf numFmtId="164" fontId="2" fillId="5" borderId="2" xfId="1" applyNumberFormat="1" applyFont="1" applyFill="1" applyBorder="1"/>
    <xf numFmtId="43" fontId="2" fillId="5" borderId="2" xfId="1" applyFont="1" applyFill="1" applyBorder="1"/>
    <xf numFmtId="43" fontId="0" fillId="0" borderId="2" xfId="1" applyFont="1" applyBorder="1"/>
    <xf numFmtId="166" fontId="0" fillId="0" borderId="2" xfId="3" applyNumberFormat="1" applyFont="1" applyBorder="1"/>
    <xf numFmtId="0" fontId="0" fillId="0" borderId="9" xfId="0" quotePrefix="1" applyBorder="1"/>
    <xf numFmtId="0" fontId="0" fillId="7" borderId="6" xfId="0" applyFill="1" applyBorder="1"/>
    <xf numFmtId="167" fontId="0" fillId="0" borderId="1" xfId="0" applyNumberFormat="1" applyBorder="1"/>
    <xf numFmtId="167" fontId="0" fillId="0" borderId="2" xfId="0" applyNumberFormat="1" applyBorder="1"/>
    <xf numFmtId="166" fontId="0" fillId="0" borderId="2" xfId="1" applyNumberFormat="1" applyFont="1" applyBorder="1"/>
    <xf numFmtId="166" fontId="0" fillId="0" borderId="2" xfId="0" applyNumberFormat="1" applyBorder="1"/>
    <xf numFmtId="164" fontId="2" fillId="0" borderId="9" xfId="1" applyNumberFormat="1" applyFont="1" applyBorder="1"/>
    <xf numFmtId="166" fontId="0" fillId="0" borderId="9" xfId="0" applyNumberFormat="1" applyBorder="1"/>
    <xf numFmtId="43" fontId="1" fillId="0" borderId="1" xfId="1" applyFont="1" applyBorder="1"/>
    <xf numFmtId="43" fontId="1" fillId="0" borderId="2" xfId="1" applyFont="1" applyBorder="1"/>
    <xf numFmtId="168" fontId="2" fillId="5" borderId="2" xfId="0" applyNumberFormat="1" applyFont="1" applyFill="1" applyBorder="1"/>
    <xf numFmtId="168" fontId="2" fillId="5" borderId="1" xfId="0" applyNumberFormat="1" applyFont="1" applyFill="1" applyBorder="1"/>
    <xf numFmtId="165" fontId="2" fillId="0" borderId="5" xfId="1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Data...3146613049</v>
        <stp/>
        <stp>BDP|10659150790188225920</stp>
        <tr r="B6" s="1"/>
      </tp>
    </main>
    <main first="bofaddin.rtdserver">
      <tp t="s">
        <v>#N/A N/A</v>
        <stp/>
        <stp>BDP|4160290574936640851</stp>
        <tr r="H20" s="1"/>
      </tp>
      <tp t="s">
        <v>#N/A N/A</v>
        <stp/>
        <stp>BDP|2477856795313869038</stp>
        <tr r="C20" s="1"/>
      </tp>
      <tp t="b">
        <v>0</v>
        <stp/>
        <stp>BDH|9392572824098404762</stp>
        <tr r="B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volatileDependencies" Target="volatileDependencies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L41"/>
  <sheetViews>
    <sheetView tabSelected="1" zoomScale="90" zoomScaleNormal="90" workbookViewId="0">
      <selection activeCell="B3" sqref="B3"/>
    </sheetView>
  </sheetViews>
  <sheetFormatPr defaultRowHeight="14.4" x14ac:dyDescent="0.3"/>
  <cols>
    <col min="1" max="1" width="17.5546875" customWidth="1"/>
    <col min="2" max="2" width="21.44140625" customWidth="1"/>
    <col min="3" max="3" width="33.5546875" bestFit="1" customWidth="1"/>
    <col min="4" max="4" width="17.44140625" customWidth="1"/>
    <col min="5" max="5" width="10.5546875" customWidth="1"/>
    <col min="6" max="6" width="7.44140625" customWidth="1"/>
    <col min="7" max="7" width="11.44140625" customWidth="1"/>
    <col min="8" max="8" width="12.44140625" customWidth="1"/>
    <col min="9" max="9" width="1.5546875" customWidth="1"/>
    <col min="10" max="10" width="24.44140625" customWidth="1"/>
    <col min="11" max="11" width="17.44140625" customWidth="1"/>
    <col min="12" max="12" width="19" customWidth="1"/>
    <col min="13" max="13" width="10" bestFit="1" customWidth="1"/>
  </cols>
  <sheetData>
    <row r="1" spans="1:12" ht="23.1" customHeight="1" x14ac:dyDescent="0.45">
      <c r="A1" s="34" t="s">
        <v>27</v>
      </c>
      <c r="B1" s="19"/>
      <c r="C1" s="19"/>
      <c r="D1" s="19"/>
      <c r="E1" s="19"/>
    </row>
    <row r="2" spans="1:12" ht="23.1" customHeight="1" x14ac:dyDescent="0.3">
      <c r="A2" t="s">
        <v>26</v>
      </c>
    </row>
    <row r="3" spans="1:12" x14ac:dyDescent="0.3">
      <c r="A3" t="s">
        <v>15</v>
      </c>
      <c r="B3" s="28">
        <v>46085</v>
      </c>
    </row>
    <row r="4" spans="1:12" x14ac:dyDescent="0.3">
      <c r="A4" t="s">
        <v>20</v>
      </c>
      <c r="B4" s="37">
        <v>0</v>
      </c>
    </row>
    <row r="5" spans="1:12" x14ac:dyDescent="0.3">
      <c r="A5" t="s">
        <v>21</v>
      </c>
      <c r="B5" s="2" cm="1">
        <f t="array" ref="B5">(_xll.BDH("krbn ln equity","FUND_NET_ASSET_VAL",B3))*50000*B4</f>
        <v>0</v>
      </c>
    </row>
    <row r="6" spans="1:12" x14ac:dyDescent="0.3">
      <c r="A6" s="3" t="s">
        <v>19</v>
      </c>
      <c r="B6" s="48" cm="1">
        <f t="array" ref="B6">((_xll.BDP("krbn ln equity","FUND_TOTAL_ASSETS")*1000000))+B5</f>
        <v>10029435.529999999</v>
      </c>
      <c r="J6" s="43"/>
    </row>
    <row r="7" spans="1:12" x14ac:dyDescent="0.3">
      <c r="K7" s="17"/>
    </row>
    <row r="8" spans="1:12" ht="15" thickBot="1" x14ac:dyDescent="0.35">
      <c r="A8" s="3" t="s">
        <v>25</v>
      </c>
    </row>
    <row r="9" spans="1:12" s="4" customFormat="1" ht="29.4" thickBot="1" x14ac:dyDescent="0.35">
      <c r="A9" s="14" t="s">
        <v>1</v>
      </c>
      <c r="B9" s="15" t="s">
        <v>7</v>
      </c>
      <c r="C9" s="15" t="s">
        <v>0</v>
      </c>
      <c r="D9" s="9" t="s">
        <v>18</v>
      </c>
      <c r="E9" s="9" t="s">
        <v>9</v>
      </c>
      <c r="F9" s="9" t="s">
        <v>3</v>
      </c>
      <c r="G9" s="9" t="s">
        <v>2</v>
      </c>
      <c r="H9" s="9" t="s">
        <v>6</v>
      </c>
      <c r="I9" s="16"/>
      <c r="J9" s="13" t="s">
        <v>17</v>
      </c>
      <c r="K9" s="18" t="s">
        <v>11</v>
      </c>
      <c r="L9" s="18" t="s">
        <v>10</v>
      </c>
    </row>
    <row r="10" spans="1:12" x14ac:dyDescent="0.3">
      <c r="A10" s="8" t="s">
        <v>28</v>
      </c>
      <c r="B10" s="50" t="s">
        <v>29</v>
      </c>
      <c r="C10" s="50" t="s">
        <v>30</v>
      </c>
      <c r="D10" s="51">
        <v>69</v>
      </c>
      <c r="E10" s="21">
        <v>1000</v>
      </c>
      <c r="F10" s="8" t="s">
        <v>4</v>
      </c>
      <c r="G10" s="65">
        <v>1.1639546523267452</v>
      </c>
      <c r="H10" s="52">
        <v>70.760000000000005</v>
      </c>
      <c r="I10" s="8"/>
      <c r="J10" s="53">
        <f>D10*E10*G10*H10</f>
        <v>5682938.7527061943</v>
      </c>
      <c r="K10" s="54">
        <v>0.592706775010863</v>
      </c>
      <c r="L10" s="54">
        <f t="shared" ref="L10:L12" si="0">J10/$B$6</f>
        <v>0.56662598166241906</v>
      </c>
    </row>
    <row r="11" spans="1:12" x14ac:dyDescent="0.3">
      <c r="A11" s="5" t="s">
        <v>38</v>
      </c>
      <c r="B11" s="6" t="s">
        <v>39</v>
      </c>
      <c r="C11" s="6" t="s">
        <v>40</v>
      </c>
      <c r="D11" s="29">
        <v>7</v>
      </c>
      <c r="E11" s="46">
        <v>1000</v>
      </c>
      <c r="F11" s="5" t="s">
        <v>22</v>
      </c>
      <c r="G11" s="66">
        <v>1.3365588954677288</v>
      </c>
      <c r="H11" s="31">
        <v>43.84</v>
      </c>
      <c r="I11" s="5"/>
      <c r="J11" s="7">
        <f t="shared" ref="J11" si="1">D11*E11*G11*H11</f>
        <v>410163.19384113664</v>
      </c>
      <c r="K11" s="22">
        <v>5.1065561292456998E-2</v>
      </c>
      <c r="L11" s="22">
        <f t="shared" si="0"/>
        <v>4.089594001718825E-2</v>
      </c>
    </row>
    <row r="12" spans="1:12" x14ac:dyDescent="0.3">
      <c r="A12" s="5" t="s">
        <v>31</v>
      </c>
      <c r="B12" s="6" t="s">
        <v>32</v>
      </c>
      <c r="C12" s="6" t="s">
        <v>33</v>
      </c>
      <c r="D12" s="29">
        <v>90</v>
      </c>
      <c r="E12" s="46">
        <v>1000</v>
      </c>
      <c r="F12" s="5" t="s">
        <v>5</v>
      </c>
      <c r="G12" s="5"/>
      <c r="H12" s="31">
        <v>29.45</v>
      </c>
      <c r="I12" s="5"/>
      <c r="J12" s="7">
        <f>D12*E12*H12</f>
        <v>2650500</v>
      </c>
      <c r="K12" s="22">
        <v>0.25459996380053601</v>
      </c>
      <c r="L12" s="22">
        <f t="shared" si="0"/>
        <v>0.26427210106409649</v>
      </c>
    </row>
    <row r="13" spans="1:12" x14ac:dyDescent="0.3">
      <c r="A13" s="5" t="s">
        <v>41</v>
      </c>
      <c r="B13" s="6" t="s">
        <v>42</v>
      </c>
      <c r="C13" s="6" t="s">
        <v>43</v>
      </c>
      <c r="D13" s="29">
        <v>20</v>
      </c>
      <c r="E13" s="46">
        <v>1000</v>
      </c>
      <c r="F13" s="5" t="s">
        <v>5</v>
      </c>
      <c r="G13" s="5"/>
      <c r="H13" s="31">
        <v>24</v>
      </c>
      <c r="I13" s="5"/>
      <c r="J13" s="7">
        <f>D13*E13*H13</f>
        <v>480000</v>
      </c>
      <c r="K13" s="22">
        <v>4.3816594815820099E-2</v>
      </c>
      <c r="L13" s="22">
        <f>J13/$B$6</f>
        <v>4.7859124131585107E-2</v>
      </c>
    </row>
    <row r="14" spans="1:12" ht="15" thickBot="1" x14ac:dyDescent="0.35">
      <c r="A14" s="10" t="s">
        <v>44</v>
      </c>
      <c r="B14" s="11" t="s">
        <v>45</v>
      </c>
      <c r="C14" s="11" t="s">
        <v>46</v>
      </c>
      <c r="D14" s="30">
        <v>8</v>
      </c>
      <c r="E14" s="23">
        <v>1000</v>
      </c>
      <c r="F14" s="10" t="s">
        <v>5</v>
      </c>
      <c r="G14" s="10"/>
      <c r="H14" s="32">
        <v>72.75</v>
      </c>
      <c r="I14" s="10"/>
      <c r="J14" s="12">
        <f>D14*E14*H14</f>
        <v>582000</v>
      </c>
      <c r="K14" s="26">
        <v>5.7811105080323E-2</v>
      </c>
      <c r="L14" s="26">
        <f>J14/$B$6</f>
        <v>5.8029188009546935E-2</v>
      </c>
    </row>
    <row r="15" spans="1:12" ht="15" thickBot="1" x14ac:dyDescent="0.35">
      <c r="J15" s="35">
        <f>SUM(J10:J14)</f>
        <v>9805601.9465473313</v>
      </c>
      <c r="K15" s="42">
        <f>SUM(K10:K14)</f>
        <v>0.99999999999999911</v>
      </c>
      <c r="L15" s="42">
        <f>SUM(L10:L14)</f>
        <v>0.9776823348848358</v>
      </c>
    </row>
    <row r="16" spans="1:12" x14ac:dyDescent="0.3">
      <c r="J16" s="17"/>
      <c r="K16" s="17"/>
    </row>
    <row r="17" spans="1:12" x14ac:dyDescent="0.3">
      <c r="J17" s="17"/>
      <c r="K17" s="17"/>
      <c r="L17" s="17"/>
    </row>
    <row r="18" spans="1:12" ht="15" thickBot="1" x14ac:dyDescent="0.35">
      <c r="A18" s="3" t="s">
        <v>12</v>
      </c>
    </row>
    <row r="19" spans="1:12" ht="29.4" thickBot="1" x14ac:dyDescent="0.35">
      <c r="A19" s="14"/>
      <c r="B19" s="15" t="s">
        <v>7</v>
      </c>
      <c r="C19" s="15" t="s">
        <v>0</v>
      </c>
      <c r="D19" s="9" t="s">
        <v>18</v>
      </c>
      <c r="E19" s="9" t="s">
        <v>9</v>
      </c>
      <c r="F19" s="9" t="s">
        <v>3</v>
      </c>
      <c r="G19" s="9"/>
      <c r="H19" s="9" t="s">
        <v>6</v>
      </c>
      <c r="I19" s="16"/>
      <c r="J19" s="13" t="s">
        <v>17</v>
      </c>
      <c r="K19" s="18" t="s">
        <v>11</v>
      </c>
      <c r="L19" s="18" t="s">
        <v>10</v>
      </c>
    </row>
    <row r="20" spans="1:12" x14ac:dyDescent="0.3">
      <c r="A20" s="5" t="s">
        <v>8</v>
      </c>
      <c r="B20" s="49" t="s">
        <v>47</v>
      </c>
      <c r="C20" s="6" t="str" cm="1">
        <f t="array" ref="C20">_xll.BDP(B20,"name")</f>
        <v>EURO FX CURR FUT  Jun26</v>
      </c>
      <c r="D20" s="29">
        <v>36</v>
      </c>
      <c r="E20" s="21">
        <v>125000</v>
      </c>
      <c r="F20" s="5" t="s">
        <v>5</v>
      </c>
      <c r="G20" s="20"/>
      <c r="H20" s="67" cm="1">
        <f t="array" ref="H20">_xll.BDP(B20,"px yest close")</f>
        <v>1.1696500000000001</v>
      </c>
      <c r="I20" s="20"/>
      <c r="J20" s="7">
        <f>D20*E20*H20</f>
        <v>5263425</v>
      </c>
      <c r="K20" s="24">
        <f>SUM(K10:K10)</f>
        <v>0.592706775010863</v>
      </c>
      <c r="L20" s="22">
        <f>SUM(J20:J22)/$B$6</f>
        <v>0.56761231809188206</v>
      </c>
    </row>
    <row r="21" spans="1:12" x14ac:dyDescent="0.3">
      <c r="A21" s="5" t="s">
        <v>34</v>
      </c>
      <c r="B21" s="6"/>
      <c r="C21" s="6"/>
      <c r="D21" s="31"/>
      <c r="E21" s="46">
        <v>1</v>
      </c>
      <c r="F21" s="5" t="s">
        <v>4</v>
      </c>
      <c r="G21" s="57">
        <f>G10</f>
        <v>1.1639546523267452</v>
      </c>
      <c r="H21" s="5"/>
      <c r="I21" s="5"/>
      <c r="J21" s="7">
        <f>D21*G21</f>
        <v>0</v>
      </c>
      <c r="K21" s="24"/>
      <c r="L21" s="22"/>
    </row>
    <row r="22" spans="1:12" ht="15" thickBot="1" x14ac:dyDescent="0.35">
      <c r="A22" s="56" t="s">
        <v>35</v>
      </c>
      <c r="B22" s="11"/>
      <c r="C22" s="11"/>
      <c r="D22" s="32">
        <v>368920</v>
      </c>
      <c r="E22" s="23">
        <v>1</v>
      </c>
      <c r="F22" s="10" t="s">
        <v>4</v>
      </c>
      <c r="G22" s="47">
        <f>G10</f>
        <v>1.1639546523267452</v>
      </c>
      <c r="H22" s="10"/>
      <c r="I22" s="10"/>
      <c r="J22" s="12">
        <f>D22*G22</f>
        <v>429406.15033638285</v>
      </c>
      <c r="K22" s="25"/>
      <c r="L22" s="26"/>
    </row>
    <row r="23" spans="1:12" x14ac:dyDescent="0.3">
      <c r="A23" s="8" t="s">
        <v>36</v>
      </c>
      <c r="B23" s="8"/>
      <c r="C23" s="8"/>
      <c r="D23" s="52"/>
      <c r="E23" s="21">
        <v>1</v>
      </c>
      <c r="F23" s="8" t="s">
        <v>22</v>
      </c>
      <c r="G23" s="58">
        <f>G11</f>
        <v>1.3365588954677288</v>
      </c>
      <c r="H23" s="8"/>
      <c r="I23" s="8"/>
      <c r="J23" s="53">
        <f>D23*G23</f>
        <v>0</v>
      </c>
      <c r="K23" s="59">
        <f>K11</f>
        <v>5.1065561292456998E-2</v>
      </c>
      <c r="L23" s="59">
        <f>(SUM(J23:J24))/B6</f>
        <v>3.0921357879621397E-2</v>
      </c>
    </row>
    <row r="24" spans="1:12" ht="15" thickBot="1" x14ac:dyDescent="0.35">
      <c r="A24" s="56" t="s">
        <v>37</v>
      </c>
      <c r="B24" s="10"/>
      <c r="C24" s="10"/>
      <c r="D24" s="32">
        <v>232031.5</v>
      </c>
      <c r="E24" s="23">
        <v>1</v>
      </c>
      <c r="F24" s="10" t="s">
        <v>22</v>
      </c>
      <c r="G24" s="47">
        <f>G11</f>
        <v>1.3365588954677288</v>
      </c>
      <c r="H24" s="10"/>
      <c r="I24" s="10"/>
      <c r="J24" s="12">
        <f>D24*G24</f>
        <v>310123.76535372029</v>
      </c>
      <c r="K24" s="25"/>
      <c r="L24" s="25"/>
    </row>
    <row r="25" spans="1:12" x14ac:dyDescent="0.3">
      <c r="A25" s="8" t="s">
        <v>8</v>
      </c>
      <c r="B25" s="50" t="str">
        <f>B20</f>
        <v>ECM6 Curncy</v>
      </c>
      <c r="C25" s="50" t="str">
        <f>C20</f>
        <v>EURO FX CURR FUT  Jun26</v>
      </c>
      <c r="D25" s="21">
        <f>-D20</f>
        <v>-36</v>
      </c>
      <c r="E25" s="21">
        <f>-E20</f>
        <v>-125000</v>
      </c>
      <c r="F25" s="8" t="s">
        <v>5</v>
      </c>
      <c r="G25" s="8"/>
      <c r="H25" s="8"/>
      <c r="I25" s="8"/>
      <c r="J25" s="53">
        <f>-J20</f>
        <v>-5263425</v>
      </c>
      <c r="K25" s="60">
        <f>SUM(K12:K14)</f>
        <v>0.35622766369667913</v>
      </c>
      <c r="L25" s="54">
        <f>SUM(J25:J29)/$B$6</f>
        <v>0.40209533948815329</v>
      </c>
    </row>
    <row r="26" spans="1:12" x14ac:dyDescent="0.3">
      <c r="A26" s="6" t="s">
        <v>13</v>
      </c>
      <c r="B26" s="6"/>
      <c r="C26" s="6"/>
      <c r="D26" s="31">
        <v>1504399.3600000001</v>
      </c>
      <c r="E26" s="21">
        <v>1</v>
      </c>
      <c r="F26" s="8" t="s">
        <v>5</v>
      </c>
      <c r="G26" s="8"/>
      <c r="H26" s="5"/>
      <c r="I26" s="5"/>
      <c r="J26" s="7">
        <f>D26</f>
        <v>1504399.3600000001</v>
      </c>
      <c r="K26" s="5"/>
      <c r="L26" s="5"/>
    </row>
    <row r="27" spans="1:12" x14ac:dyDescent="0.3">
      <c r="A27" s="6" t="s">
        <v>14</v>
      </c>
      <c r="B27" s="6"/>
      <c r="C27" s="6"/>
      <c r="D27" s="31">
        <v>6787012.5800000001</v>
      </c>
      <c r="E27" s="21">
        <v>1</v>
      </c>
      <c r="F27" s="8" t="s">
        <v>5</v>
      </c>
      <c r="G27" s="8"/>
      <c r="H27" s="5"/>
      <c r="I27" s="5"/>
      <c r="J27" s="7">
        <f>D27-J24-J22</f>
        <v>6047482.6643098965</v>
      </c>
      <c r="K27" s="5"/>
      <c r="L27" s="5"/>
    </row>
    <row r="28" spans="1:12" x14ac:dyDescent="0.3">
      <c r="A28" s="38"/>
      <c r="B28" s="38"/>
      <c r="C28" s="38"/>
      <c r="D28" s="44"/>
      <c r="E28" s="46"/>
      <c r="F28" s="5"/>
      <c r="G28" s="5"/>
      <c r="H28" s="20"/>
      <c r="I28" s="20"/>
      <c r="J28" s="45"/>
      <c r="K28" s="20"/>
      <c r="L28" s="20"/>
    </row>
    <row r="29" spans="1:12" ht="15" thickBot="1" x14ac:dyDescent="0.35">
      <c r="A29" s="11" t="s">
        <v>23</v>
      </c>
      <c r="B29" s="11"/>
      <c r="C29" s="11"/>
      <c r="D29" s="32">
        <v>1744332.26</v>
      </c>
      <c r="E29" s="23">
        <v>1</v>
      </c>
      <c r="F29" s="10" t="s">
        <v>5</v>
      </c>
      <c r="G29" s="10"/>
      <c r="H29" s="10"/>
      <c r="I29" s="10"/>
      <c r="J29" s="12">
        <f>D29</f>
        <v>1744332.26</v>
      </c>
      <c r="K29" s="10"/>
      <c r="L29" s="10"/>
    </row>
    <row r="30" spans="1:12" ht="15" thickBot="1" x14ac:dyDescent="0.35">
      <c r="A30" s="1"/>
      <c r="B30" s="1"/>
      <c r="C30" s="1"/>
      <c r="D30" s="36"/>
      <c r="E30" s="1"/>
      <c r="J30" s="35">
        <f>SUM(J20:J29)</f>
        <v>10035744.200000001</v>
      </c>
      <c r="K30" s="42">
        <f>SUM(K20:K29)</f>
        <v>0.99999999999999911</v>
      </c>
      <c r="L30" s="42">
        <f>SUM(L20:L29)</f>
        <v>1.0006290154596567</v>
      </c>
    </row>
    <row r="31" spans="1:12" x14ac:dyDescent="0.3">
      <c r="A31" s="1"/>
      <c r="B31" s="1"/>
      <c r="C31" s="1"/>
      <c r="D31" s="1"/>
      <c r="E31" s="1"/>
    </row>
    <row r="32" spans="1:12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4"/>
      <c r="B34" s="15" t="s">
        <v>7</v>
      </c>
      <c r="C34" s="15" t="s">
        <v>0</v>
      </c>
      <c r="D34" s="9" t="s">
        <v>18</v>
      </c>
      <c r="E34" s="9" t="s">
        <v>9</v>
      </c>
      <c r="F34" s="9" t="s">
        <v>3</v>
      </c>
      <c r="G34" s="9"/>
      <c r="H34" s="9" t="s">
        <v>6</v>
      </c>
      <c r="I34" s="16"/>
      <c r="J34" s="13" t="s">
        <v>17</v>
      </c>
      <c r="K34" s="18" t="s">
        <v>11</v>
      </c>
      <c r="L34" s="18" t="s">
        <v>10</v>
      </c>
    </row>
    <row r="35" spans="1:12" x14ac:dyDescent="0.3">
      <c r="A35" s="20" t="s">
        <v>8</v>
      </c>
      <c r="B35" s="38" t="str">
        <f>B20</f>
        <v>ECM6 Curncy</v>
      </c>
      <c r="C35" s="38" t="str">
        <f>C20</f>
        <v>EURO FX CURR FUT  Jun26</v>
      </c>
      <c r="D35" s="21">
        <f>D20</f>
        <v>36</v>
      </c>
      <c r="E35" s="21">
        <v>125000</v>
      </c>
      <c r="F35" s="5" t="s">
        <v>5</v>
      </c>
      <c r="G35" s="20"/>
      <c r="H35" s="33">
        <f>H20</f>
        <v>1.1696500000000001</v>
      </c>
      <c r="I35" s="20"/>
      <c r="J35" s="7">
        <f>J20</f>
        <v>5263425</v>
      </c>
      <c r="K35" s="24">
        <f>SUM(K10:K10)</f>
        <v>0.592706775010863</v>
      </c>
      <c r="L35" s="22">
        <f>SUM(J35:J37)/$B$6</f>
        <v>0.56761231809188206</v>
      </c>
    </row>
    <row r="36" spans="1:12" x14ac:dyDescent="0.3">
      <c r="A36" s="5" t="s">
        <v>34</v>
      </c>
      <c r="B36" s="5"/>
      <c r="C36" s="5"/>
      <c r="D36" s="63">
        <f>D21</f>
        <v>0</v>
      </c>
      <c r="E36" s="46"/>
      <c r="F36" s="5" t="s">
        <v>4</v>
      </c>
      <c r="G36" s="5"/>
      <c r="H36" s="5"/>
      <c r="I36" s="5"/>
      <c r="J36" s="63">
        <f>J21</f>
        <v>0</v>
      </c>
      <c r="K36" s="24"/>
      <c r="L36" s="22"/>
    </row>
    <row r="37" spans="1:12" ht="15" thickBot="1" x14ac:dyDescent="0.35">
      <c r="A37" s="10" t="s">
        <v>35</v>
      </c>
      <c r="B37" s="10"/>
      <c r="C37" s="10"/>
      <c r="D37" s="27">
        <f>D22</f>
        <v>368920</v>
      </c>
      <c r="E37" s="23"/>
      <c r="F37" s="10" t="s">
        <v>4</v>
      </c>
      <c r="G37" s="10"/>
      <c r="H37" s="10"/>
      <c r="I37" s="10"/>
      <c r="J37" s="27">
        <f>J22</f>
        <v>429406.15033638285</v>
      </c>
      <c r="K37" s="25"/>
      <c r="L37" s="26"/>
    </row>
    <row r="38" spans="1:12" x14ac:dyDescent="0.3">
      <c r="A38" s="8" t="s">
        <v>36</v>
      </c>
      <c r="B38" s="8"/>
      <c r="C38" s="8"/>
      <c r="D38" s="64">
        <f>D23</f>
        <v>0</v>
      </c>
      <c r="E38" s="21"/>
      <c r="F38" s="8" t="s">
        <v>22</v>
      </c>
      <c r="G38" s="8"/>
      <c r="H38" s="8"/>
      <c r="I38" s="8"/>
      <c r="J38" s="64">
        <f>J23</f>
        <v>0</v>
      </c>
      <c r="K38" s="59">
        <f>K11</f>
        <v>5.1065561292456998E-2</v>
      </c>
      <c r="L38" s="59">
        <f>(SUM(J38:J39))/B6</f>
        <v>3.0921357879621397E-2</v>
      </c>
    </row>
    <row r="39" spans="1:12" ht="15" thickBot="1" x14ac:dyDescent="0.35">
      <c r="A39" s="10" t="s">
        <v>37</v>
      </c>
      <c r="B39" s="10"/>
      <c r="C39" s="10"/>
      <c r="D39" s="27">
        <f>D24</f>
        <v>232031.5</v>
      </c>
      <c r="E39" s="23"/>
      <c r="F39" s="10" t="s">
        <v>22</v>
      </c>
      <c r="G39" s="10"/>
      <c r="H39" s="10"/>
      <c r="I39" s="10"/>
      <c r="J39" s="27">
        <f>J24</f>
        <v>310123.76535372029</v>
      </c>
      <c r="K39" s="25"/>
      <c r="L39" s="25"/>
    </row>
    <row r="40" spans="1:12" ht="15" thickBot="1" x14ac:dyDescent="0.35">
      <c r="A40" s="55" t="s">
        <v>24</v>
      </c>
      <c r="B40" s="55"/>
      <c r="C40" s="55"/>
      <c r="D40" s="61"/>
      <c r="E40" s="40"/>
      <c r="F40" s="39" t="s">
        <v>5</v>
      </c>
      <c r="G40" s="39"/>
      <c r="H40" s="39"/>
      <c r="I40" s="39"/>
      <c r="J40" s="41">
        <f>SUM(J25:J29)</f>
        <v>4032789.2843098966</v>
      </c>
      <c r="K40" s="62">
        <f>K25</f>
        <v>0.35622766369667913</v>
      </c>
      <c r="L40" s="62">
        <f>L25</f>
        <v>0.40209533948815329</v>
      </c>
    </row>
    <row r="41" spans="1:12" ht="15" thickBot="1" x14ac:dyDescent="0.35">
      <c r="A41" s="1"/>
      <c r="B41" s="1"/>
      <c r="C41" s="1"/>
      <c r="D41" s="1"/>
      <c r="E41" s="1"/>
      <c r="J41" s="35">
        <f>SUM(J35:J40)</f>
        <v>10035744.199999999</v>
      </c>
      <c r="K41" s="42">
        <f>SUM(K35:K40)</f>
        <v>0.99999999999999911</v>
      </c>
      <c r="L41" s="42">
        <f>SUM(L35:L40)</f>
        <v>1.0006290154596567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2020-10-26T20:02:17Z</cp:lastPrinted>
  <dcterms:created xsi:type="dcterms:W3CDTF">2020-10-26T15:50:05Z</dcterms:created>
  <dcterms:modified xsi:type="dcterms:W3CDTF">2026-03-05T16:12:16Z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