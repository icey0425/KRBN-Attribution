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CFF1693F-E8DE-4F96-8BB5-0EBEBBE02FA6}" xr6:coauthVersionLast="47" xr6:coauthVersionMax="47" xr10:uidLastSave="{6FD1B24E-A8EB-49EB-AA28-F14BB9F4A0C8}"/>
  <bookViews>
    <workbookView xWindow="30570" yWindow="6810" windowWidth="22125" windowHeight="976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<sst xmlns="http://schemas.openxmlformats.org/spreadsheetml/2006/main" count="95" uniqueCount="50">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</sst>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46028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12206238.18</v>
      </c>
      <c r="J6" t="s">
        <v>25</v>
      </c>
    </row>
    <row r="7" spans="1:12" x14ac:dyDescent="0.3">
      <c r="J7" s="57">
        <f>(D26+D27)/B6</f>
        <v>0.85707024193099923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1.1696043228575772</v>
      </c>
      <c r="H10" s="49">
        <v>88.1</v>
      </c>
      <c r="I10" s="4"/>
      <c r="J10" s="9">
        <f>D10*E10*G10*H10</f>
        <v>7109907.7182189254</v>
      </c>
      <c r="K10" s="54">
        <v>0.58870741130079196</v>
      </c>
      <c r="L10" s="20">
        <f t="shared" ref="L10:L13" si="0">J10/$B$6</f>
        <v>0.58248148310497128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1.3506577703341527</v>
      </c>
      <c r="H11" s="49">
        <v>68.42</v>
      </c>
      <c r="I11" s="4"/>
      <c r="J11" s="9">
        <f t="shared" ref="J11" si="1">D11*E11*G11*H11</f>
        <v>646884.03252383904</v>
      </c>
      <c r="K11" s="54">
        <v>5.4074700808128998E-2</v>
      </c>
      <c r="L11" s="20">
        <f t="shared" si="0"/>
        <v>5.2996183015973156E-2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34.270000000000003</v>
      </c>
      <c r="I12" s="4"/>
      <c r="J12" s="9">
        <f>D12*E12*H12</f>
        <v>3084300.0000000005</v>
      </c>
      <c r="K12" s="54">
        <v>0.26052691028917502</v>
      </c>
      <c r="L12" s="20">
        <f t="shared" si="0"/>
        <v>0.25268227233625884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26.49</v>
      </c>
      <c r="I13" s="4"/>
      <c r="J13" s="9">
        <f>D13*E13*H13</f>
        <v>529800</v>
      </c>
      <c r="K13" s="54">
        <v>4.2990086781390498E-2</v>
      </c>
      <c r="L13" s="20">
        <f t="shared" si="0"/>
        <v>4.3404035886181601E-2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7</v>
      </c>
      <c r="E14" s="51">
        <v>1000</v>
      </c>
      <c r="F14" s="11" t="s">
        <v>5</v>
      </c>
      <c r="G14" s="11"/>
      <c r="H14" s="52">
        <v>77.349999999999994</v>
      </c>
      <c r="I14" s="11"/>
      <c r="J14" s="13">
        <f>D14*E14*H14</f>
        <v>541450</v>
      </c>
      <c r="K14" s="55">
        <v>5.3700890820512E-2</v>
      </c>
      <c r="L14" s="20">
        <f>J14/$B$6</f>
        <v>4.4358465893871324E-2</v>
      </c>
    </row>
    <row r="15" spans="1:12" ht="15" thickBot="1" x14ac:dyDescent="0.35">
      <c r="J15" s="33">
        <f>SUM(J10:J14)</f>
        <v>11912341.750742765</v>
      </c>
      <c r="K15" s="34">
        <f>SUM(K10:K14)</f>
        <v>0.99999999999999845</v>
      </c>
      <c r="L15" s="35">
        <f>SUM(L10:L14)</f>
        <v>0.97592244023725616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1.1728000000000001</v>
      </c>
      <c r="I20" s="22"/>
      <c r="J20" s="6">
        <f>D20*E20*H20</f>
        <v>5277600</v>
      </c>
      <c r="K20" s="26">
        <f>SUM(K10:K10)</f>
        <v>0.58870741130079196</v>
      </c>
      <c r="L20" s="24">
        <f>SUM(J20:J22)/$B$6</f>
        <v>0.58236412480972854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1.1696043228575772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1565380</v>
      </c>
      <c r="E22" s="25">
        <v>1</v>
      </c>
      <c r="F22" s="11" t="s">
        <v>4</v>
      </c>
      <c r="G22" s="61">
        <v>1.1696043228575772</v>
      </c>
      <c r="H22" s="11"/>
      <c r="I22" s="11"/>
      <c r="J22" s="13">
        <f>D22*G22</f>
        <v>1830875.2149147943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1.3506577703341527</v>
      </c>
      <c r="H23" s="7"/>
      <c r="I23" s="7"/>
      <c r="J23" s="9">
        <f>D23*G23</f>
        <v>0</v>
      </c>
      <c r="K23" s="69">
        <f>K11</f>
        <v>5.4074700808128998E-2</v>
      </c>
      <c r="L23" s="69">
        <f>(SUM(J23:J24))/B6</f>
        <v>4.4713966445064347E-2</v>
      </c>
    </row>
    <row r="24" spans="1:13" ht="15" thickBot="1" x14ac:dyDescent="0.35">
      <c r="A24" s="64" t="s">
        <v>38</v>
      </c>
      <c r="B24" s="11"/>
      <c r="C24" s="11"/>
      <c r="D24" s="52">
        <v>404091.5</v>
      </c>
      <c r="E24" s="25">
        <v>1</v>
      </c>
      <c r="F24" s="11" t="s">
        <v>22</v>
      </c>
      <c r="G24" s="61">
        <v>1.3506577703341527</v>
      </c>
      <c r="H24" s="11"/>
      <c r="I24" s="11"/>
      <c r="J24" s="13">
        <f>D24*G24</f>
        <v>545789.32440098329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-5277600</v>
      </c>
      <c r="K25" s="65">
        <f>SUM(K12:K14)</f>
        <v>0.3572178878910775</v>
      </c>
      <c r="L25" s="20">
        <f>SUM(J25:J29)/$B$6</f>
        <v>0.37343831108858644</v>
      </c>
    </row>
    <row r="26" spans="1:13" x14ac:dyDescent="0.3">
      <c r="A26" s="5" t="s">
        <v>13</v>
      </c>
      <c r="B26" s="5"/>
      <c r="C26" s="5"/>
      <c r="D26" s="49">
        <v>1480861.97</v>
      </c>
      <c r="E26" s="23">
        <v>1</v>
      </c>
      <c r="F26" s="7" t="s">
        <v>5</v>
      </c>
      <c r="G26" s="7"/>
      <c r="H26" s="4"/>
      <c r="I26" s="4"/>
      <c r="J26" s="6">
        <f>D26</f>
        <v>1480861.97</v>
      </c>
      <c r="K26" s="4"/>
      <c r="L26" s="4"/>
    </row>
    <row r="27" spans="1:13" x14ac:dyDescent="0.3">
      <c r="A27" s="5" t="s">
        <v>14</v>
      </c>
      <c r="B27" s="5"/>
      <c r="C27" s="5"/>
      <c r="D27" s="49">
        <v>8980741.5399999991</v>
      </c>
      <c r="E27" s="23">
        <v>1</v>
      </c>
      <c r="F27" s="7" t="s">
        <v>5</v>
      </c>
      <c r="G27" s="7"/>
      <c r="H27" s="4"/>
      <c r="I27" s="4"/>
      <c r="J27" s="6">
        <f>D27-J24-J22</f>
        <v>6604077.0006842213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1750938</v>
      </c>
      <c r="E29" s="25">
        <v>1</v>
      </c>
      <c r="F29" s="11" t="s">
        <v>5</v>
      </c>
      <c r="G29" s="11"/>
      <c r="H29" s="11"/>
      <c r="I29" s="11"/>
      <c r="J29" s="13">
        <f>D29</f>
        <v>1750938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12212541.509999998</v>
      </c>
      <c r="K30" s="42">
        <f>SUM(K20:K29)</f>
        <v>0.99999999999999845</v>
      </c>
      <c r="L30" s="42">
        <f>SUM(L20:L29)</f>
        <v>1.0005164023433792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1.1728000000000001</v>
      </c>
      <c r="I35" s="22"/>
      <c r="J35" s="6">
        <f>J20</f>
        <v>5277600</v>
      </c>
      <c r="K35" s="26">
        <f>SUM(K10:K10)</f>
        <v>0.58870741130079196</v>
      </c>
      <c r="L35" s="24">
        <f>SUM(J35:J37)/$B$6</f>
        <v>0.58236412480972854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1565380</v>
      </c>
      <c r="E37" s="25"/>
      <c r="F37" s="11" t="s">
        <v>4</v>
      </c>
      <c r="G37" s="11"/>
      <c r="H37" s="11"/>
      <c r="I37" s="11"/>
      <c r="J37" s="29">
        <f>J22</f>
        <v>1830875.2149147943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5.4074700808128998E-2</v>
      </c>
      <c r="L38" s="69">
        <f>(SUM(J38:J39))/$B$6</f>
        <v>4.4713966445064347E-2</v>
      </c>
    </row>
    <row r="39" spans="1:12" ht="15" thickBot="1" x14ac:dyDescent="0.35">
      <c r="A39" s="11" t="s">
        <v>38</v>
      </c>
      <c r="B39" s="11"/>
      <c r="C39" s="11"/>
      <c r="D39" s="29">
        <v>404091.5</v>
      </c>
      <c r="E39" s="25"/>
      <c r="F39" s="11" t="s">
        <v>22</v>
      </c>
      <c r="G39" s="11"/>
      <c r="H39" s="11"/>
      <c r="I39" s="11"/>
      <c r="J39" s="29">
        <f>J24</f>
        <v>545789.32440098329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4558276.970684221</v>
      </c>
      <c r="K40" s="71">
        <f>K25</f>
        <v>0.3572178878910775</v>
      </c>
      <c r="L40" s="71">
        <f>L25</f>
        <v>0.37343831108858644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12212541.509999998</v>
      </c>
      <c r="K41" s="42">
        <f>SUM(K35:K40)</f>
        <v>0.99999999999999845</v>
      </c>
      <c r="L41" s="42">
        <f>SUM(L35:L40)</f>
        <v>1.0005164023433792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2026-01-07T13:20:18Z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