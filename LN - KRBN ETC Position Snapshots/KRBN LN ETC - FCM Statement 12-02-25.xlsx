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3" documentId="8_{17733F19-F059-4B2F-A613-07AF19F6D123}" xr6:coauthVersionLast="47" xr6:coauthVersionMax="47" xr10:uidLastSave="{EFEB022E-5A3A-458E-A428-D254541DF79A}"/>
  <bookViews>
    <workbookView xWindow="30585" yWindow="6735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<sst xmlns="http://schemas.openxmlformats.org/spreadsheetml/2006/main" count="95" uniqueCount="50">
  <si>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</si>
  <si>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</si>
  <si>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</si>
  <si>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</si>
  <si>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</si>
  <si>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</si>
  <si>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</si>
  <si>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</si>
  <si>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</si>
  <si>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</si>
  <si>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</si>
  <si>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</si>
  <si>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</si>
  <si>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</si>
  <si>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</si>
  <si>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</si>
  <si>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</si>
  <si>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</si>
  <si>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</si>
  <si>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</si>
  <si>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</si>
  <si>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</si>
  <si>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</si>
  <si>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</si>
  <si>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</si>
  <si>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</si>
  <si>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</si>
  <si>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</si>
  <si>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</si>
  <si>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</si>
  <si>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</si>
  <si>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</si>
  <si>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</si>
  <si>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</si>
  <si>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</si>
  <si>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</si>
  <si>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</si>
  <si>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</si>
  <si>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</si>
  <si>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ECZ5 Curncy</t>
  </si>
  <si>
    <t>EURO FX CURR FUT  Dec25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</si>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</sst>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45993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9983819.3200000003</v>
      </c>
      <c r="J6" t="s">
        <v>25</v>
      </c>
    </row>
    <row r="7" spans="1:12" x14ac:dyDescent="0.3">
      <c r="J7" s="57">
        <f>(D26+D27)/B6</f>
        <v>0.9810070040410146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1.1606448542810386</v>
      </c>
      <c r="H10" s="49">
        <v>84.03</v>
      </c>
      <c r="I10" s="4"/>
      <c r="J10" s="9">
        <f>D10*E10*G10*H10</f>
        <v>5851739.2263141396</v>
      </c>
      <c r="K10" s="54">
        <v>0.59482670993909603</v>
      </c>
      <c r="L10" s="20">
        <f t="shared" ref="L10:L13" si="0">J10/$B$6</f>
        <v>0.58612230838269408</v>
      </c>
    </row>
    <row r="11" spans="1:12" x14ac:dyDescent="0.3">
      <c r="A11" s="4" t="s">
        <v>41</v>
      </c>
      <c r="B11" s="5" t="s">
        <v>42</v>
      </c>
      <c r="C11" s="8" t="s">
        <v>43</v>
      </c>
      <c r="D11" s="48">
        <v>6</v>
      </c>
      <c r="E11" s="46">
        <v>1000</v>
      </c>
      <c r="F11" s="4" t="s">
        <v>22</v>
      </c>
      <c r="G11" s="62">
        <v>1.3202540168728463</v>
      </c>
      <c r="H11" s="49">
        <v>58.7</v>
      </c>
      <c r="I11" s="4"/>
      <c r="J11" s="9">
        <f t="shared" ref="J11" si="1">D11*E11*G11*H11</f>
        <v>464993.46474261652</v>
      </c>
      <c r="K11" s="54">
        <v>4.8410277371066297E-2</v>
      </c>
      <c r="L11" s="20">
        <f t="shared" si="0"/>
        <v>4.6574707518106058E-2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30.87</v>
      </c>
      <c r="I12" s="4"/>
      <c r="J12" s="9">
        <f>D12*E12*H12</f>
        <v>2407860</v>
      </c>
      <c r="K12" s="54">
        <v>0.25054456661580699</v>
      </c>
      <c r="L12" s="20">
        <f t="shared" si="0"/>
        <v>0.24117623955558523</v>
      </c>
    </row>
    <row r="13" spans="1:12" x14ac:dyDescent="0.3">
      <c r="A13" s="4" t="s">
        <v>44</v>
      </c>
      <c r="B13" s="5" t="s">
        <v>45</v>
      </c>
      <c r="C13" s="8" t="s">
        <v>46</v>
      </c>
      <c r="D13" s="48">
        <v>18</v>
      </c>
      <c r="E13" s="46">
        <v>1000</v>
      </c>
      <c r="F13" s="4" t="s">
        <v>5</v>
      </c>
      <c r="G13" s="4"/>
      <c r="H13" s="49">
        <v>29.42</v>
      </c>
      <c r="I13" s="4"/>
      <c r="J13" s="9">
        <f>D13*E13*H13</f>
        <v>529560</v>
      </c>
      <c r="K13" s="54">
        <v>5.1082550440253296E-2</v>
      </c>
      <c r="L13" s="20">
        <f t="shared" si="0"/>
        <v>5.3041825280147399E-2</v>
      </c>
    </row>
    <row r="14" spans="1:12" ht="15" thickBot="1" x14ac:dyDescent="0.35">
      <c r="A14" s="11" t="s">
        <v>47</v>
      </c>
      <c r="B14" s="12" t="s">
        <v>48</v>
      </c>
      <c r="C14" s="12" t="s">
        <v>49</v>
      </c>
      <c r="D14" s="50">
        <v>7</v>
      </c>
      <c r="E14" s="51">
        <v>1000</v>
      </c>
      <c r="F14" s="11" t="s">
        <v>5</v>
      </c>
      <c r="G14" s="11"/>
      <c r="H14" s="52">
        <v>74.739999999999995</v>
      </c>
      <c r="I14" s="11"/>
      <c r="J14" s="13">
        <f>D14*E14*H14</f>
        <v>523179.99999999994</v>
      </c>
      <c r="K14" s="55">
        <v>5.51358956337753E-2</v>
      </c>
      <c r="L14" s="20">
        <f>J14/$B$6</f>
        <v>5.2402791279680325E-2</v>
      </c>
    </row>
    <row r="15" spans="1:12" ht="15" thickBot="1" x14ac:dyDescent="0.35">
      <c r="J15" s="33">
        <f>SUM(J10:J14)</f>
        <v>9777332.6910567563</v>
      </c>
      <c r="K15" s="34">
        <f>SUM(K10:K14)</f>
        <v>0.99999999999999789</v>
      </c>
      <c r="L15" s="35">
        <f>SUM(L10:L14)</f>
        <v>0.97931787201621312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39</v>
      </c>
      <c r="C20" s="5" t="s">
        <v>40</v>
      </c>
      <c r="D20" s="48">
        <v>30</v>
      </c>
      <c r="E20" s="46">
        <v>125000</v>
      </c>
      <c r="F20" s="4" t="s">
        <v>5</v>
      </c>
      <c r="G20" s="22"/>
      <c r="H20" s="53">
        <v>1.1629</v>
      </c>
      <c r="I20" s="22"/>
      <c r="J20" s="6">
        <f>D20*E20*H20</f>
        <v>4360875</v>
      </c>
      <c r="K20" s="26">
        <f>SUM(K10:K10)</f>
        <v>0.59482670993909603</v>
      </c>
      <c r="L20" s="24">
        <f>SUM(J20:J22)/$B$6</f>
        <v>0.58974616797748725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1.1606448542810386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1315686</v>
      </c>
      <c r="E22" s="25">
        <v>1</v>
      </c>
      <c r="F22" s="11" t="s">
        <v>4</v>
      </c>
      <c r="G22" s="61">
        <v>1.1606448542810386</v>
      </c>
      <c r="H22" s="11"/>
      <c r="I22" s="11"/>
      <c r="J22" s="13">
        <f>D22*G22</f>
        <v>1527044.1857496025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1.3202540168728463</v>
      </c>
      <c r="H23" s="7"/>
      <c r="I23" s="7"/>
      <c r="J23" s="9">
        <f>D23*G23</f>
        <v>0</v>
      </c>
      <c r="K23" s="69">
        <f>K11</f>
        <v>4.8410277371066297E-2</v>
      </c>
      <c r="L23" s="69">
        <f>(SUM(J23:J24))/B6</f>
        <v>4.5475137123406867E-2</v>
      </c>
    </row>
    <row r="24" spans="1:13" ht="15" thickBot="1" x14ac:dyDescent="0.35">
      <c r="A24" s="64" t="s">
        <v>38</v>
      </c>
      <c r="B24" s="11"/>
      <c r="C24" s="11"/>
      <c r="D24" s="52">
        <v>343885</v>
      </c>
      <c r="E24" s="25">
        <v>1</v>
      </c>
      <c r="F24" s="11" t="s">
        <v>22</v>
      </c>
      <c r="G24" s="61">
        <v>1.3202540168728463</v>
      </c>
      <c r="H24" s="11"/>
      <c r="I24" s="11"/>
      <c r="J24" s="13">
        <f>D24*G24</f>
        <v>454015.55259231874</v>
      </c>
      <c r="K24" s="27"/>
      <c r="L24" s="27"/>
    </row>
    <row r="25" spans="1:13" x14ac:dyDescent="0.3">
      <c r="A25" s="7" t="s">
        <v>8</v>
      </c>
      <c r="B25" s="8" t="s">
        <v>39</v>
      </c>
      <c r="C25" s="8" t="s">
        <v>40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-4360875</v>
      </c>
      <c r="K25" s="65">
        <f>SUM(K12:K14)</f>
        <v>0.35676301268983557</v>
      </c>
      <c r="L25" s="20">
        <f>SUM(J25:J29)/$B$6</f>
        <v>0.36567051592617145</v>
      </c>
    </row>
    <row r="26" spans="1:13" x14ac:dyDescent="0.3">
      <c r="A26" s="5" t="s">
        <v>13</v>
      </c>
      <c r="B26" s="5"/>
      <c r="C26" s="5"/>
      <c r="D26" s="49">
        <v>1289810.23</v>
      </c>
      <c r="E26" s="23">
        <v>1</v>
      </c>
      <c r="F26" s="7" t="s">
        <v>5</v>
      </c>
      <c r="G26" s="7"/>
      <c r="H26" s="4"/>
      <c r="I26" s="4"/>
      <c r="J26" s="6">
        <f>D26</f>
        <v>1289810.23</v>
      </c>
      <c r="K26" s="4"/>
      <c r="L26" s="4"/>
    </row>
    <row r="27" spans="1:13" x14ac:dyDescent="0.3">
      <c r="A27" s="5" t="s">
        <v>14</v>
      </c>
      <c r="B27" s="5"/>
      <c r="C27" s="5"/>
      <c r="D27" s="49">
        <v>8504386.4499999993</v>
      </c>
      <c r="E27" s="23">
        <v>1</v>
      </c>
      <c r="F27" s="7" t="s">
        <v>5</v>
      </c>
      <c r="G27" s="7"/>
      <c r="H27" s="4"/>
      <c r="I27" s="4"/>
      <c r="J27" s="6">
        <f>D27-J24-J22</f>
        <v>6523326.7116580782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198526.42</v>
      </c>
      <c r="E29" s="25">
        <v>1</v>
      </c>
      <c r="F29" s="11" t="s">
        <v>5</v>
      </c>
      <c r="G29" s="11"/>
      <c r="H29" s="11"/>
      <c r="I29" s="11"/>
      <c r="J29" s="13">
        <f>D29</f>
        <v>198526.42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9992723.0999999996</v>
      </c>
      <c r="K30" s="42">
        <f>SUM(K20:K29)</f>
        <v>0.99999999999999789</v>
      </c>
      <c r="L30" s="42">
        <f>SUM(L20:L29)</f>
        <v>1.0008918210270656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39</v>
      </c>
      <c r="C35" s="38" t="s">
        <v>40</v>
      </c>
      <c r="D35" s="23">
        <v>30</v>
      </c>
      <c r="E35" s="23">
        <v>125000</v>
      </c>
      <c r="F35" s="4" t="s">
        <v>5</v>
      </c>
      <c r="G35" s="22"/>
      <c r="H35" s="31">
        <v>1.1629</v>
      </c>
      <c r="I35" s="22"/>
      <c r="J35" s="6">
        <f>J20</f>
        <v>4360875</v>
      </c>
      <c r="K35" s="26">
        <f>SUM(K10:K10)</f>
        <v>0.59482670993909603</v>
      </c>
      <c r="L35" s="24">
        <f>SUM(J35:J37)/$B$6</f>
        <v>0.58974616797748725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1315686</v>
      </c>
      <c r="E37" s="25"/>
      <c r="F37" s="11" t="s">
        <v>4</v>
      </c>
      <c r="G37" s="11"/>
      <c r="H37" s="11"/>
      <c r="I37" s="11"/>
      <c r="J37" s="29">
        <f>J22</f>
        <v>1527044.1857496025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4.8410277371066297E-2</v>
      </c>
      <c r="L38" s="69">
        <f>(SUM(J38:J39))/$B$6</f>
        <v>4.5475137123406867E-2</v>
      </c>
    </row>
    <row r="39" spans="1:12" ht="15" thickBot="1" x14ac:dyDescent="0.35">
      <c r="A39" s="11" t="s">
        <v>38</v>
      </c>
      <c r="B39" s="11"/>
      <c r="C39" s="11"/>
      <c r="D39" s="29">
        <v>343885</v>
      </c>
      <c r="E39" s="25"/>
      <c r="F39" s="11" t="s">
        <v>22</v>
      </c>
      <c r="G39" s="11"/>
      <c r="H39" s="11"/>
      <c r="I39" s="11"/>
      <c r="J39" s="29">
        <f>J24</f>
        <v>454015.55259231874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3650788.3616580782</v>
      </c>
      <c r="K40" s="71">
        <f>K25</f>
        <v>0.35676301268983557</v>
      </c>
      <c r="L40" s="71">
        <f>L25</f>
        <v>0.36567051592617145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9992723.0999999996</v>
      </c>
      <c r="K41" s="42">
        <f>SUM(K35:K40)</f>
        <v>0.99999999999999789</v>
      </c>
      <c r="L41" s="42">
        <f>SUM(L35:L40)</f>
        <v>1.0008918210270656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2025-12-03T13:41:15Z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