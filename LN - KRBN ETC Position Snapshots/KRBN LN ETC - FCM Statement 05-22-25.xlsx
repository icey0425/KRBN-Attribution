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842677B3-1BFF-4D3D-BF63-0C90B3A31743}" xr6:coauthVersionLast="47" xr6:coauthVersionMax="47" xr10:uidLastSave="{6F5FD1DE-159F-403D-9F39-5E41479E0072}"/>
  <bookViews>
    <workbookView xWindow="30390" yWindow="4155" windowWidth="22110" windowHeight="1000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<sst xmlns="http://schemas.openxmlformats.org/spreadsheetml/2006/main" count="103" uniqueCount="56">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</sst>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45799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8663511.5</v>
      </c>
      <c r="J6" t="s">
        <v>25</v>
      </c>
    </row>
    <row r="7" spans="1:13" x14ac:dyDescent="0.3">
      <c r="J7" s="57">
        <f>(D28+D29)/B6</f>
        <v>0.97559896238378629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62</v>
      </c>
      <c r="E10" s="46">
        <v>1000</v>
      </c>
      <c r="F10" s="4" t="s">
        <v>4</v>
      </c>
      <c r="G10" s="62">
        <v>1.1278534692772715</v>
      </c>
      <c r="H10" s="49">
        <v>72.150000000000006</v>
      </c>
      <c r="I10" s="4"/>
      <c r="J10" s="9">
        <f>D10*E10*G10*H10</f>
        <v>5045226.9241180196</v>
      </c>
      <c r="K10" s="54">
        <v>0.59537329446105303</v>
      </c>
      <c r="L10" s="20">
        <f t="shared" ref="L10:L15" si="0">J10/$B$6</f>
        <v>0.5823535784673477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6</v>
      </c>
      <c r="E11" s="46">
        <v>1000</v>
      </c>
      <c r="F11" s="4" t="s">
        <v>4</v>
      </c>
      <c r="G11" s="62">
        <v>1.1278534692772715</v>
      </c>
      <c r="H11" s="49">
        <v>74.040000000000006</v>
      </c>
      <c r="I11" s="4"/>
      <c r="J11" s="9">
        <f t="shared" ref="J11:J12" si="1">D11*E11*G11*H11</f>
        <v>501037.6251917351</v>
      </c>
      <c r="K11" s="54">
        <v>5.3958140721345797E-2</v>
      </c>
      <c r="L11" s="20">
        <f t="shared" si="0"/>
        <v>5.7833088256619168E-2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9</v>
      </c>
      <c r="E12" s="46">
        <v>1000</v>
      </c>
      <c r="F12" s="4" t="s">
        <v>22</v>
      </c>
      <c r="G12" s="62">
        <v>1.3424080114910126</v>
      </c>
      <c r="H12" s="49">
        <v>52.95</v>
      </c>
      <c r="I12" s="4"/>
      <c r="J12" s="9">
        <f t="shared" si="1"/>
        <v>639724.53787604207</v>
      </c>
      <c r="K12" s="54">
        <v>7.1780372759039604E-2</v>
      </c>
      <c r="L12" s="20">
        <f t="shared" si="0"/>
        <v>7.3841252230812185E-2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45</v>
      </c>
      <c r="E13" s="46">
        <v>1000</v>
      </c>
      <c r="F13" s="4" t="s">
        <v>5</v>
      </c>
      <c r="G13" s="47"/>
      <c r="H13" s="49">
        <v>27.19</v>
      </c>
      <c r="I13" s="4"/>
      <c r="J13" s="9">
        <f>D13*E13*H13</f>
        <v>1223550</v>
      </c>
      <c r="K13" s="54">
        <v>0.14836970512223899</v>
      </c>
      <c r="L13" s="20">
        <f t="shared" si="0"/>
        <v>0.14123026211715653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12</v>
      </c>
      <c r="E14" s="46">
        <v>1000</v>
      </c>
      <c r="F14" s="4" t="s">
        <v>5</v>
      </c>
      <c r="G14" s="47"/>
      <c r="H14" s="49">
        <v>29</v>
      </c>
      <c r="I14" s="4"/>
      <c r="J14" s="9">
        <f>D14*E14*H14</f>
        <v>348000</v>
      </c>
      <c r="K14" s="54">
        <v>3.7349458820146099E-2</v>
      </c>
      <c r="L14" s="20">
        <f t="shared" ref="L14" si="2">J14/$B$6</f>
        <v>4.0168469794262987E-2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17</v>
      </c>
      <c r="E15" s="46">
        <v>1000</v>
      </c>
      <c r="F15" s="4" t="s">
        <v>5</v>
      </c>
      <c r="G15" s="4"/>
      <c r="H15" s="49">
        <v>20.8</v>
      </c>
      <c r="I15" s="4"/>
      <c r="J15" s="9">
        <f>D15*E15*H15</f>
        <v>353600</v>
      </c>
      <c r="K15" s="54">
        <v>4.3442463075379301E-2</v>
      </c>
      <c r="L15" s="20">
        <f t="shared" si="0"/>
        <v>4.081485896336607E-2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60.25</v>
      </c>
      <c r="I16" s="11"/>
      <c r="J16" s="13">
        <f>D16*E16*H16</f>
        <v>421750</v>
      </c>
      <c r="K16" s="55">
        <v>4.9726565040796401E-2</v>
      </c>
      <c r="L16" s="20">
        <f>J16/$B$6</f>
        <v>4.86811842980759E-2</v>
      </c>
    </row>
    <row r="17" spans="1:13" ht="15" thickBot="1" x14ac:dyDescent="0.35">
      <c r="J17" s="33">
        <f>SUM(J10:J16)</f>
        <v>8532889.0871857964</v>
      </c>
      <c r="K17" s="34">
        <f>SUM(K10:K16)</f>
        <v>0.99999999999999922</v>
      </c>
      <c r="L17" s="35">
        <f>SUM(L10:L16)</f>
        <v>0.98492269412764055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33</v>
      </c>
      <c r="E22" s="46">
        <v>125000</v>
      </c>
      <c r="F22" s="4" t="s">
        <v>5</v>
      </c>
      <c r="G22" s="22"/>
      <c r="H22" s="53">
        <v>1.1294</v>
      </c>
      <c r="I22" s="22"/>
      <c r="J22" s="6">
        <f>D22*E22*H22</f>
        <v>4658775</v>
      </c>
      <c r="K22" s="26">
        <f>SUM(K10:K11)</f>
        <v>0.64933143518239878</v>
      </c>
      <c r="L22" s="24">
        <f>SUM(J22:J24)/$B$6</f>
        <v>0.63065903073092822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1.1278534692772715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713698</v>
      </c>
      <c r="E24" s="25">
        <v>1</v>
      </c>
      <c r="F24" s="11" t="s">
        <v>4</v>
      </c>
      <c r="G24" s="61">
        <v>1.1278534692772715</v>
      </c>
      <c r="H24" s="11"/>
      <c r="I24" s="11"/>
      <c r="J24" s="13">
        <f>D24*G24</f>
        <v>804946.76531625015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1.3424080114910126</v>
      </c>
      <c r="H25" s="7"/>
      <c r="I25" s="7"/>
      <c r="J25" s="9">
        <f>D25*G25</f>
        <v>0</v>
      </c>
      <c r="K25" s="69">
        <f>K12</f>
        <v>7.1780372759039604E-2</v>
      </c>
      <c r="L25" s="69">
        <f>(SUM(J25:J26))/B6</f>
        <v>8.6080337133931026E-2</v>
      </c>
    </row>
    <row r="26" spans="1:13" ht="15" thickBot="1" x14ac:dyDescent="0.35">
      <c r="A26" s="64" t="s">
        <v>53</v>
      </c>
      <c r="B26" s="11"/>
      <c r="C26" s="11"/>
      <c r="D26" s="52">
        <v>555537.5</v>
      </c>
      <c r="E26" s="25">
        <v>1</v>
      </c>
      <c r="F26" s="11" t="s">
        <v>22</v>
      </c>
      <c r="G26" s="61">
        <v>1.3424080114910126</v>
      </c>
      <c r="H26" s="11"/>
      <c r="I26" s="11"/>
      <c r="J26" s="13">
        <f>D26*G26</f>
        <v>745757.99068368843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-33</v>
      </c>
      <c r="E27" s="23">
        <v>-125000</v>
      </c>
      <c r="F27" s="7" t="s">
        <v>5</v>
      </c>
      <c r="G27" s="7"/>
      <c r="H27" s="7"/>
      <c r="I27" s="7"/>
      <c r="J27" s="9">
        <f>-J22</f>
        <v>-4658775</v>
      </c>
      <c r="K27" s="65">
        <f>SUM(K13:K16)</f>
        <v>0.2788881920585608</v>
      </c>
      <c r="L27" s="20">
        <f>SUM(J27:J31)/$B$6</f>
        <v>0.28500749886464183</v>
      </c>
    </row>
    <row r="28" spans="1:13" x14ac:dyDescent="0.3">
      <c r="A28" s="5" t="s">
        <v>13</v>
      </c>
      <c r="B28" s="5"/>
      <c r="C28" s="5"/>
      <c r="D28" s="49">
        <v>1372412.57</v>
      </c>
      <c r="E28" s="23">
        <v>1</v>
      </c>
      <c r="F28" s="7" t="s">
        <v>5</v>
      </c>
      <c r="G28" s="7"/>
      <c r="H28" s="4"/>
      <c r="I28" s="4"/>
      <c r="J28" s="6">
        <f>D28</f>
        <v>1372412.57</v>
      </c>
      <c r="K28" s="4"/>
      <c r="L28" s="4"/>
    </row>
    <row r="29" spans="1:13" x14ac:dyDescent="0.3">
      <c r="A29" s="5" t="s">
        <v>14</v>
      </c>
      <c r="B29" s="5"/>
      <c r="C29" s="5"/>
      <c r="D29" s="49">
        <v>7079700.2599999998</v>
      </c>
      <c r="E29" s="23">
        <v>1</v>
      </c>
      <c r="F29" s="7" t="s">
        <v>5</v>
      </c>
      <c r="G29" s="7"/>
      <c r="H29" s="4"/>
      <c r="I29" s="4"/>
      <c r="J29" s="6">
        <f>D29-J26-J24</f>
        <v>5528995.5040000612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226532.67</v>
      </c>
      <c r="E31" s="25">
        <v>1</v>
      </c>
      <c r="F31" s="11" t="s">
        <v>5</v>
      </c>
      <c r="G31" s="11"/>
      <c r="H31" s="11"/>
      <c r="I31" s="11"/>
      <c r="J31" s="13">
        <f>D31</f>
        <v>226532.67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8678645.5</v>
      </c>
      <c r="K32" s="42">
        <f>SUM(K22:K31)</f>
        <v>0.99999999999999911</v>
      </c>
      <c r="L32" s="42">
        <f>SUM(L22:L31)</f>
        <v>1.0017468667295011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33</v>
      </c>
      <c r="E37" s="23">
        <v>125000</v>
      </c>
      <c r="F37" s="4" t="s">
        <v>5</v>
      </c>
      <c r="G37" s="22"/>
      <c r="H37" s="31">
        <v>1.1294</v>
      </c>
      <c r="I37" s="22"/>
      <c r="J37" s="6">
        <f>J22</f>
        <v>4658775</v>
      </c>
      <c r="K37" s="26">
        <f>SUM(K10:K11)</f>
        <v>0.64933143518239878</v>
      </c>
      <c r="L37" s="24">
        <f>SUM(J37:J39)/$B$6</f>
        <v>0.63065903073092822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713698</v>
      </c>
      <c r="E39" s="25"/>
      <c r="F39" s="11" t="s">
        <v>4</v>
      </c>
      <c r="G39" s="11"/>
      <c r="H39" s="11"/>
      <c r="I39" s="11"/>
      <c r="J39" s="29">
        <f>J24</f>
        <v>804946.76531625015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7.1780372759039604E-2</v>
      </c>
      <c r="L40" s="69">
        <f>(SUM(J40:J41))/$B$6</f>
        <v>8.6080337133931026E-2</v>
      </c>
    </row>
    <row r="41" spans="1:12" ht="15" thickBot="1" x14ac:dyDescent="0.35">
      <c r="A41" s="11" t="s">
        <v>53</v>
      </c>
      <c r="B41" s="11"/>
      <c r="C41" s="11"/>
      <c r="D41" s="29">
        <v>555537.5</v>
      </c>
      <c r="E41" s="25"/>
      <c r="F41" s="11" t="s">
        <v>22</v>
      </c>
      <c r="G41" s="11"/>
      <c r="H41" s="11"/>
      <c r="I41" s="11"/>
      <c r="J41" s="29">
        <f>J26</f>
        <v>745757.99068368843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2469165.7440000614</v>
      </c>
      <c r="K42" s="71">
        <f>K27</f>
        <v>0.2788881920585608</v>
      </c>
      <c r="L42" s="71">
        <f>L27</f>
        <v>0.28500749886464183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8678645.5</v>
      </c>
      <c r="K43" s="42">
        <f>SUM(K37:K42)</f>
        <v>0.99999999999999911</v>
      </c>
      <c r="L43" s="42">
        <f>SUM(L37:L42)</f>
        <v>1.0017468667295011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2025-05-23T11:35:21Z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