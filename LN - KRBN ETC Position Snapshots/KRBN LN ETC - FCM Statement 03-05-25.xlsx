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35C2DA9D-032A-4F76-923E-7C9D76D7C76E}" xr6:coauthVersionLast="47" xr6:coauthVersionMax="47" xr10:uidLastSave="{0008BAEF-B548-47C1-81B0-91325C6CF894}"/>
  <bookViews>
    <workbookView xWindow="30045" yWindow="5025" windowWidth="22110" windowHeight="973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32" i="1" s="1"/>
  <c r="J40" i="1"/>
  <c r="L10" i="1"/>
  <c r="L17" i="1" s="1"/>
  <c r="K43" i="1"/>
  <c r="L37" i="1"/>
  <c r="L40" i="1"/>
  <c r="J27" i="1"/>
  <c r="L22" i="1"/>
  <c r="J42" i="1" l="1"/>
  <c r="J43" i="1" s="1"/>
  <c r="L27" i="1"/>
  <c r="L42" i="1" s="1"/>
  <c r="L43" i="1" s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<sst xmlns="http://schemas.openxmlformats.org/spreadsheetml/2006/main" count="103" uniqueCount="56">
  <si>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</si>
  <si>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</si>
  <si>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</si>
  <si>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</si>
  <si>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</si>
  <si>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</si>
  <si>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</si>
  <si>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</si>
  <si>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</si>
  <si>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</si>
  <si>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</si>
  <si>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</si>
  <si>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</si>
  <si>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</si>
  <si>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</si>
  <si>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</si>
  <si>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</si>
  <si>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</si>
  <si>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</si>
  <si>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</si>
  <si>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</si>
  <si>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</si>
  <si>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</si>
  <si>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</si>
  <si>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</si>
  <si>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</si>
  <si>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</si>
  <si>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</si>
  <si>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</si>
  <si>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</si>
  <si>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</si>
  <si>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</si>
  <si>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</si>
  <si>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</si>
  <si>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</si>
  <si>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</si>
  <si>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</si>
  <si>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</si>
  <si>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</si>
  <si>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</si>
  <si>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</si>
  <si>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</si>
  <si>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</si>
  <si>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</si>
  <si>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</si>
  <si>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</si>
  <si>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</si>
  <si>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</si>
  <si>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</si>
  <si>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</si>
  <si>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</si>
  <si>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 Cash in BBH</t>
  </si>
  <si>
    <t>EURO in CFC</t>
  </si>
  <si>
    <t>GBP Cash in BBH</t>
  </si>
  <si>
    <t>GBP in CFC</t>
  </si>
  <si>
    <t>EURO FX CURR FUT  Mar25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</si>
</sst>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45721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11481866.4</v>
      </c>
      <c r="J6" t="s">
        <v>25</v>
      </c>
    </row>
    <row r="7" spans="1:12" x14ac:dyDescent="0.3">
      <c r="J7" s="57">
        <f>(D28+D29)/B6</f>
        <v>0.94811050231345673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1.0764030914296787</v>
      </c>
      <c r="H10" s="49">
        <v>68.790000000000006</v>
      </c>
      <c r="I10" s="4"/>
      <c r="J10" s="9">
        <f>D10*E10*G10*H10</f>
        <v>6367936.1047124946</v>
      </c>
      <c r="K10" s="54">
        <v>0.56922485797802902</v>
      </c>
      <c r="L10" s="20">
        <f t="shared" ref="L10:L15" si="0">J10/$B$6</f>
        <v>0.55460809966509406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1.0764030914296787</v>
      </c>
      <c r="H11" s="49">
        <v>70.819999999999993</v>
      </c>
      <c r="I11" s="4"/>
      <c r="J11" s="9">
        <f t="shared" ref="J11:J12" si="1">D11*E11*G11*H11</f>
        <v>609846.93548039871</v>
      </c>
      <c r="K11" s="54">
        <v>5.17549653000575E-2</v>
      </c>
      <c r="L11" s="20">
        <f t="shared" si="0"/>
        <v>5.3113920179422978E-2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1.2864549161874623</v>
      </c>
      <c r="H12" s="49">
        <v>39.64</v>
      </c>
      <c r="I12" s="4"/>
      <c r="J12" s="9">
        <f t="shared" si="1"/>
        <v>611940.87453205208</v>
      </c>
      <c r="K12" s="54">
        <v>5.4108755622426903E-2</v>
      </c>
      <c r="L12" s="20">
        <f t="shared" si="0"/>
        <v>5.329628940222228E-2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32.47</v>
      </c>
      <c r="I13" s="4"/>
      <c r="J13" s="9">
        <f>D13*E13*H13</f>
        <v>2045610</v>
      </c>
      <c r="K13" s="54">
        <v>0.1861664864641</v>
      </c>
      <c r="L13" s="20">
        <f t="shared" si="0"/>
        <v>0.17816005941333718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34.5</v>
      </c>
      <c r="I14" s="4"/>
      <c r="J14" s="9">
        <f>D14*E14*H14</f>
        <v>552000</v>
      </c>
      <c r="K14" s="54">
        <v>4.6686207759511399E-2</v>
      </c>
      <c r="L14" s="20">
        <f t="shared" ref="L14" si="2">J14/$B$6</f>
        <v>4.8075807605634568E-2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21.5</v>
      </c>
      <c r="I15" s="4"/>
      <c r="J15" s="9">
        <f>D15*E15*H15</f>
        <v>516000</v>
      </c>
      <c r="K15" s="54">
        <v>4.7181609667044502E-2</v>
      </c>
      <c r="L15" s="20">
        <f t="shared" si="0"/>
        <v>4.4940428848745356E-2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51.75</v>
      </c>
      <c r="I16" s="11"/>
      <c r="J16" s="13">
        <f>D16*E16*H16</f>
        <v>517500</v>
      </c>
      <c r="K16" s="55">
        <v>4.4877117208830399E-2</v>
      </c>
      <c r="L16" s="20">
        <f>J16/$B$6</f>
        <v>4.5071069630282408E-2</v>
      </c>
    </row>
    <row r="17" spans="1:13" ht="15" thickBot="1" x14ac:dyDescent="0.35">
      <c r="J17" s="33">
        <f>SUM(J10:J16)</f>
        <v>11220833.914724946</v>
      </c>
      <c r="K17" s="34">
        <f>SUM(K10:K16)</f>
        <v>0.99999999999999967</v>
      </c>
      <c r="L17" s="35">
        <f>SUM(L10:L16)</f>
        <v>0.9772656747447388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50</v>
      </c>
      <c r="C22" s="5" t="s">
        <v>55</v>
      </c>
      <c r="D22" s="48">
        <v>50</v>
      </c>
      <c r="E22" s="46">
        <v>125000</v>
      </c>
      <c r="F22" s="4" t="s">
        <v>5</v>
      </c>
      <c r="G22" s="22"/>
      <c r="H22" s="53">
        <v>1.0797000000000001</v>
      </c>
      <c r="I22" s="22"/>
      <c r="J22" s="6">
        <f>D22*E22*H22</f>
        <v>6748125.0000000009</v>
      </c>
      <c r="K22" s="26">
        <f>SUM(K10:K11)</f>
        <v>0.62097982327808654</v>
      </c>
      <c r="L22" s="24">
        <f>SUM(J22:J24)/$B$6</f>
        <v>0.62471058891536935</v>
      </c>
      <c r="M22" s="18"/>
    </row>
    <row r="23" spans="1:13" x14ac:dyDescent="0.3">
      <c r="A23" s="4" t="s">
        <v>51</v>
      </c>
      <c r="B23" s="5"/>
      <c r="C23" s="5"/>
      <c r="D23" s="49"/>
      <c r="E23" s="60">
        <v>1</v>
      </c>
      <c r="F23" s="4" t="s">
        <v>4</v>
      </c>
      <c r="G23" s="66">
        <v>1.0764030914296787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52</v>
      </c>
      <c r="B24" s="12"/>
      <c r="C24" s="12"/>
      <c r="D24" s="52">
        <v>394572</v>
      </c>
      <c r="E24" s="25">
        <v>1</v>
      </c>
      <c r="F24" s="11" t="s">
        <v>4</v>
      </c>
      <c r="G24" s="61">
        <v>1.0764030914296787</v>
      </c>
      <c r="H24" s="11"/>
      <c r="I24" s="11"/>
      <c r="J24" s="13">
        <f>D24*G24</f>
        <v>424718.52059159119</v>
      </c>
      <c r="K24" s="27"/>
      <c r="L24" s="28"/>
    </row>
    <row r="25" spans="1:13" x14ac:dyDescent="0.3">
      <c r="A25" s="7" t="s">
        <v>53</v>
      </c>
      <c r="B25" s="7"/>
      <c r="C25" s="7"/>
      <c r="D25" s="67"/>
      <c r="E25" s="23">
        <v>1</v>
      </c>
      <c r="F25" s="7" t="s">
        <v>22</v>
      </c>
      <c r="G25" s="68">
        <v>1.2864549161874623</v>
      </c>
      <c r="H25" s="7"/>
      <c r="I25" s="7"/>
      <c r="J25" s="9">
        <f>D25*G25</f>
        <v>0</v>
      </c>
      <c r="K25" s="69">
        <f>K12</f>
        <v>5.4108755622426903E-2</v>
      </c>
      <c r="L25" s="69">
        <f>(SUM(J25:J26))/B6</f>
        <v>4.556850670660742E-2</v>
      </c>
    </row>
    <row r="26" spans="1:13" ht="15" thickBot="1" x14ac:dyDescent="0.35">
      <c r="A26" s="64" t="s">
        <v>54</v>
      </c>
      <c r="B26" s="11"/>
      <c r="C26" s="11"/>
      <c r="D26" s="52">
        <v>406708</v>
      </c>
      <c r="E26" s="25">
        <v>1</v>
      </c>
      <c r="F26" s="11" t="s">
        <v>22</v>
      </c>
      <c r="G26" s="61">
        <v>1.2864549161874623</v>
      </c>
      <c r="H26" s="11"/>
      <c r="I26" s="11"/>
      <c r="J26" s="13">
        <f>D26*G26</f>
        <v>523211.50605277042</v>
      </c>
      <c r="K26" s="27"/>
      <c r="L26" s="27"/>
    </row>
    <row r="27" spans="1:13" x14ac:dyDescent="0.3">
      <c r="A27" s="7" t="s">
        <v>8</v>
      </c>
      <c r="B27" s="8" t="s">
        <v>50</v>
      </c>
      <c r="C27" s="8" t="s">
        <v>55</v>
      </c>
      <c r="D27" s="46">
        <v>-50</v>
      </c>
      <c r="E27" s="23">
        <v>-125000</v>
      </c>
      <c r="F27" s="7" t="s">
        <v>5</v>
      </c>
      <c r="G27" s="7"/>
      <c r="H27" s="7"/>
      <c r="I27" s="7"/>
      <c r="J27" s="9">
        <f>-J22</f>
        <v>-6748125.0000000009</v>
      </c>
      <c r="K27" s="65">
        <f>SUM(K13:K16)</f>
        <v>0.32491142109948634</v>
      </c>
      <c r="L27" s="20">
        <f>SUM(J27:J31)/$B$6</f>
        <v>0.33051686120957113</v>
      </c>
    </row>
    <row r="28" spans="1:13" x14ac:dyDescent="0.3">
      <c r="A28" s="5" t="s">
        <v>13</v>
      </c>
      <c r="B28" s="5"/>
      <c r="C28" s="5"/>
      <c r="D28" s="49">
        <v>1816363.63</v>
      </c>
      <c r="E28" s="23">
        <v>1</v>
      </c>
      <c r="F28" s="7" t="s">
        <v>5</v>
      </c>
      <c r="G28" s="7"/>
      <c r="H28" s="4"/>
      <c r="I28" s="4"/>
      <c r="J28" s="6">
        <f>D28</f>
        <v>1816363.63</v>
      </c>
      <c r="K28" s="4"/>
      <c r="L28" s="4"/>
    </row>
    <row r="29" spans="1:13" x14ac:dyDescent="0.3">
      <c r="A29" s="5" t="s">
        <v>14</v>
      </c>
      <c r="B29" s="5"/>
      <c r="C29" s="5"/>
      <c r="D29" s="49">
        <v>9069714.4900000002</v>
      </c>
      <c r="E29" s="23">
        <v>1</v>
      </c>
      <c r="F29" s="7" t="s">
        <v>5</v>
      </c>
      <c r="G29" s="7"/>
      <c r="H29" s="4"/>
      <c r="I29" s="4"/>
      <c r="J29" s="6">
        <f>D29-J26-J24</f>
        <v>8121784.463355639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604927.35</v>
      </c>
      <c r="E31" s="25">
        <v>1</v>
      </c>
      <c r="F31" s="11" t="s">
        <v>5</v>
      </c>
      <c r="G31" s="11"/>
      <c r="H31" s="11"/>
      <c r="I31" s="11"/>
      <c r="J31" s="13">
        <f>D31</f>
        <v>604927.35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11491005.470000001</v>
      </c>
      <c r="K32" s="42">
        <f>SUM(K22:K31)</f>
        <v>0.99999999999999978</v>
      </c>
      <c r="L32" s="42">
        <f>SUM(L22:L31)</f>
        <v>1.0007959568315479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50</v>
      </c>
      <c r="C37" s="38" t="s">
        <v>55</v>
      </c>
      <c r="D37" s="23">
        <v>50</v>
      </c>
      <c r="E37" s="23">
        <v>125000</v>
      </c>
      <c r="F37" s="4" t="s">
        <v>5</v>
      </c>
      <c r="G37" s="22"/>
      <c r="H37" s="31">
        <v>1.0797000000000001</v>
      </c>
      <c r="I37" s="22"/>
      <c r="J37" s="6">
        <f>J22</f>
        <v>6748125.0000000009</v>
      </c>
      <c r="K37" s="26">
        <f>SUM(K10:K11)</f>
        <v>0.62097982327808654</v>
      </c>
      <c r="L37" s="24">
        <f>SUM(J37:J39)/$B$6</f>
        <v>0.62471058891536935</v>
      </c>
    </row>
    <row r="38" spans="1:12" x14ac:dyDescent="0.3">
      <c r="A38" s="4" t="s">
        <v>51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52</v>
      </c>
      <c r="B39" s="11"/>
      <c r="C39" s="11"/>
      <c r="D39" s="29">
        <v>394572</v>
      </c>
      <c r="E39" s="25"/>
      <c r="F39" s="11" t="s">
        <v>4</v>
      </c>
      <c r="G39" s="11"/>
      <c r="H39" s="11"/>
      <c r="I39" s="11"/>
      <c r="J39" s="29">
        <f>J24</f>
        <v>424718.52059159119</v>
      </c>
      <c r="K39" s="27"/>
      <c r="L39" s="28"/>
    </row>
    <row r="40" spans="1:12" x14ac:dyDescent="0.3">
      <c r="A40" s="7" t="s">
        <v>53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5.4108755622426903E-2</v>
      </c>
      <c r="L40" s="69">
        <f>(SUM(J40:J41))/$B$6</f>
        <v>4.556850670660742E-2</v>
      </c>
    </row>
    <row r="41" spans="1:12" ht="15" thickBot="1" x14ac:dyDescent="0.35">
      <c r="A41" s="11" t="s">
        <v>54</v>
      </c>
      <c r="B41" s="11"/>
      <c r="C41" s="11"/>
      <c r="D41" s="29">
        <v>406708</v>
      </c>
      <c r="E41" s="25"/>
      <c r="F41" s="11" t="s">
        <v>22</v>
      </c>
      <c r="G41" s="11"/>
      <c r="H41" s="11"/>
      <c r="I41" s="11"/>
      <c r="J41" s="29">
        <f>J26</f>
        <v>523211.50605277042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3794950.4433556381</v>
      </c>
      <c r="K42" s="71">
        <f>K27</f>
        <v>0.32491142109948634</v>
      </c>
      <c r="L42" s="71">
        <f>L27</f>
        <v>0.33051686120957113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11491005.470000001</v>
      </c>
      <c r="K43" s="42">
        <f>SUM(K37:K42)</f>
        <v>0.99999999999999978</v>
      </c>
      <c r="L43" s="42">
        <f>SUM(L37:L42)</f>
        <v>1.0007959568315479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2025-03-06T13:31:59Z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