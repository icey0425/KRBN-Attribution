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robin_zheng_kraneshares_com/Documents/Research_ongoing/KRBN Attribution/LN - KRBN ETC Position Snapshots/"/>
    </mc:Choice>
  </mc:AlternateContent>
  <xr:revisionPtr revIDLastSave="13" documentId="8_{4FC00699-963B-4FCC-99CB-E265E1FF1526}" xr6:coauthVersionLast="47" xr6:coauthVersionMax="47" xr10:uidLastSave="{B1273EC3-060E-4A6D-AC01-B8E129438D84}"/>
  <bookViews>
    <workbookView xWindow="-13728" yWindow="-16344" windowWidth="29016" windowHeight="15696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<sst xmlns="http://schemas.openxmlformats.org/spreadsheetml/2006/main" count="103" uniqueCount="56">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</sst>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>
      <selection activeCell="P16" sqref="P16"/>
    </sheetView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45757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>
        <v>0</v>
      </c>
    </row>
    <row r="6" spans="1:13" x14ac:dyDescent="0.3">
      <c r="A6" s="2" t="s">
        <v>19</v>
      </c>
      <c r="B6" s="37">
        <v>10633641.74</v>
      </c>
      <c r="J6" t="s">
        <v>25</v>
      </c>
    </row>
    <row r="7" spans="1:13" x14ac:dyDescent="0.3">
      <c r="J7" s="57">
        <f>(D28+D29)/B6</f>
        <v>0.94426027371503296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1.118055477912814</v>
      </c>
      <c r="H10" s="49">
        <v>62.12</v>
      </c>
      <c r="I10" s="4"/>
      <c r="J10" s="9">
        <f>D10*E10*G10*H10</f>
        <v>5973010.140763185</v>
      </c>
      <c r="K10" s="54">
        <v>0.57855699804653105</v>
      </c>
      <c r="L10" s="20">
        <f t="shared" ref="L10:L15" si="0">J10/$B$6</f>
        <v>0.56170879993961365</v>
      </c>
      <c r="M10" s="57"/>
    </row>
    <row r="11" spans="1:13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1.118055477912814</v>
      </c>
      <c r="H11" s="49">
        <v>63.8</v>
      </c>
      <c r="I11" s="4"/>
      <c r="J11" s="9">
        <f t="shared" ref="J11:J12" si="1">D11*E11*G11*H11</f>
        <v>570655.5159267002</v>
      </c>
      <c r="K11" s="54">
        <v>5.2477475442163503E-2</v>
      </c>
      <c r="L11" s="20">
        <f t="shared" si="0"/>
        <v>5.3665106449853013E-2</v>
      </c>
      <c r="M11" s="57"/>
    </row>
    <row r="12" spans="1:13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1.2960922817704621</v>
      </c>
      <c r="H12" s="49">
        <v>43.18</v>
      </c>
      <c r="I12" s="4"/>
      <c r="J12" s="9">
        <f t="shared" si="1"/>
        <v>671583.17672218266</v>
      </c>
      <c r="K12" s="54">
        <v>6.4347363448501796E-2</v>
      </c>
      <c r="L12" s="20">
        <f t="shared" si="0"/>
        <v>6.3156460706770307E-2</v>
      </c>
      <c r="M12" s="57"/>
    </row>
    <row r="13" spans="1:13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26.98</v>
      </c>
      <c r="I13" s="4"/>
      <c r="J13" s="9">
        <f>D13*E13*H13</f>
        <v>1699740</v>
      </c>
      <c r="K13" s="54">
        <v>0.16762152142488501</v>
      </c>
      <c r="L13" s="20">
        <f t="shared" si="0"/>
        <v>0.1598455206184142</v>
      </c>
      <c r="M13" s="57"/>
    </row>
    <row r="14" spans="1:13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28.69</v>
      </c>
      <c r="I14" s="4"/>
      <c r="J14" s="9">
        <f>D14*E14*H14</f>
        <v>459040</v>
      </c>
      <c r="K14" s="54">
        <v>4.2069627895484601E-2</v>
      </c>
      <c r="L14" s="20">
        <f t="shared" ref="L14" si="2">J14/$B$6</f>
        <v>4.316865390275975E-2</v>
      </c>
      <c r="M14" s="57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17</v>
      </c>
      <c r="I15" s="4"/>
      <c r="J15" s="9">
        <f>D15*E15*H15</f>
        <v>408000</v>
      </c>
      <c r="K15" s="54">
        <v>4.0425168053040597E-2</v>
      </c>
      <c r="L15" s="20">
        <f t="shared" si="0"/>
        <v>3.8368793116778446E-2</v>
      </c>
      <c r="M15" s="57"/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</v>
      </c>
      <c r="I16" s="11"/>
      <c r="J16" s="13">
        <f>D16*E16*H16</f>
        <v>580000</v>
      </c>
      <c r="K16" s="55">
        <v>5.4501845689392502E-2</v>
      </c>
      <c r="L16" s="20">
        <f>J16/$B$6</f>
        <v>5.4543872567969359E-2</v>
      </c>
      <c r="M16" s="57"/>
    </row>
    <row r="17" spans="1:13" ht="15" thickBot="1" x14ac:dyDescent="0.35">
      <c r="J17" s="33">
        <f>SUM(J10:J16)</f>
        <v>10362028.833412068</v>
      </c>
      <c r="K17" s="34">
        <f>SUM(K10:K16)</f>
        <v>0.99999999999999911</v>
      </c>
      <c r="L17" s="35">
        <f>SUM(L10:L16)</f>
        <v>0.97445720730215857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1.12595</v>
      </c>
      <c r="I22" s="22"/>
      <c r="J22" s="6">
        <f>D22*E22*H22</f>
        <v>6474212.5</v>
      </c>
      <c r="K22" s="26">
        <f>SUM(K10:K11)</f>
        <v>0.63103447348869457</v>
      </c>
      <c r="L22" s="24">
        <f>SUM(J22:J24)/$B$6</f>
        <v>0.63357298069446877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1.118055477912814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235208</v>
      </c>
      <c r="E24" s="25">
        <v>1</v>
      </c>
      <c r="F24" s="11" t="s">
        <v>4</v>
      </c>
      <c r="G24" s="61">
        <v>1.118055477912814</v>
      </c>
      <c r="H24" s="11"/>
      <c r="I24" s="11"/>
      <c r="J24" s="13">
        <f>D24*G24</f>
        <v>262975.59284891718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1.2960922817704621</v>
      </c>
      <c r="H25" s="7"/>
      <c r="I25" s="7"/>
      <c r="J25" s="9">
        <f>D25*G25</f>
        <v>0</v>
      </c>
      <c r="K25" s="69">
        <f>K12</f>
        <v>6.4347363448501796E-2</v>
      </c>
      <c r="L25" s="69">
        <f>(SUM(J25:J26))/B6</f>
        <v>5.4749738057651577E-2</v>
      </c>
    </row>
    <row r="26" spans="1:13" ht="15" thickBot="1" x14ac:dyDescent="0.35">
      <c r="A26" s="64" t="s">
        <v>53</v>
      </c>
      <c r="B26" s="11"/>
      <c r="C26" s="11"/>
      <c r="D26" s="52">
        <v>449188</v>
      </c>
      <c r="E26" s="25">
        <v>1</v>
      </c>
      <c r="F26" s="11" t="s">
        <v>22</v>
      </c>
      <c r="G26" s="61">
        <v>1.2960922817704621</v>
      </c>
      <c r="H26" s="11"/>
      <c r="I26" s="11"/>
      <c r="J26" s="13">
        <f>D26*G26</f>
        <v>582189.09986391035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-6474212.5</v>
      </c>
      <c r="K27" s="65">
        <f>SUM(K13:K16)</f>
        <v>0.3046181630628027</v>
      </c>
      <c r="L27" s="20">
        <f>SUM(J27:J31)/$B$6</f>
        <v>0.31159678953855485</v>
      </c>
    </row>
    <row r="28" spans="1:13" x14ac:dyDescent="0.3">
      <c r="A28" s="5" t="s">
        <v>13</v>
      </c>
      <c r="B28" s="5"/>
      <c r="C28" s="5"/>
      <c r="D28" s="49">
        <v>1849362.95</v>
      </c>
      <c r="E28" s="23">
        <v>1</v>
      </c>
      <c r="F28" s="7" t="s">
        <v>5</v>
      </c>
      <c r="G28" s="7"/>
      <c r="H28" s="4"/>
      <c r="I28" s="4"/>
      <c r="J28" s="6">
        <f>D28</f>
        <v>1849362.95</v>
      </c>
      <c r="K28" s="4"/>
      <c r="L28" s="4"/>
    </row>
    <row r="29" spans="1:13" x14ac:dyDescent="0.3">
      <c r="A29" s="5" t="s">
        <v>14</v>
      </c>
      <c r="B29" s="5"/>
      <c r="C29" s="5"/>
      <c r="D29" s="49">
        <v>8191562.5099999998</v>
      </c>
      <c r="E29" s="23">
        <v>1</v>
      </c>
      <c r="F29" s="7" t="s">
        <v>5</v>
      </c>
      <c r="G29" s="7"/>
      <c r="H29" s="4"/>
      <c r="I29" s="4"/>
      <c r="J29" s="6">
        <f>D29-J26-J24</f>
        <v>7346397.8172871722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10632785.82</v>
      </c>
      <c r="K32" s="42">
        <f>SUM(K22:K31)</f>
        <v>0.99999999999999911</v>
      </c>
      <c r="L32" s="42">
        <f>SUM(L22:L31)</f>
        <v>0.99991950829067522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1.12595</v>
      </c>
      <c r="I37" s="22"/>
      <c r="J37" s="6">
        <f>J22</f>
        <v>6474212.5</v>
      </c>
      <c r="K37" s="26">
        <f>SUM(K10:K11)</f>
        <v>0.63103447348869457</v>
      </c>
      <c r="L37" s="24">
        <f>SUM(J37:J39)/$B$6</f>
        <v>0.63357298069446877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235208</v>
      </c>
      <c r="E39" s="25"/>
      <c r="F39" s="11" t="s">
        <v>4</v>
      </c>
      <c r="G39" s="11"/>
      <c r="H39" s="11"/>
      <c r="I39" s="11"/>
      <c r="J39" s="29">
        <f>J24</f>
        <v>262975.59284891718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6.4347363448501796E-2</v>
      </c>
      <c r="L40" s="69">
        <f>(SUM(J40:J41))/$B$6</f>
        <v>5.4749738057651577E-2</v>
      </c>
    </row>
    <row r="41" spans="1:12" ht="15" thickBot="1" x14ac:dyDescent="0.35">
      <c r="A41" s="11" t="s">
        <v>53</v>
      </c>
      <c r="B41" s="11"/>
      <c r="C41" s="11"/>
      <c r="D41" s="29">
        <v>449188</v>
      </c>
      <c r="E41" s="25"/>
      <c r="F41" s="11" t="s">
        <v>22</v>
      </c>
      <c r="G41" s="11"/>
      <c r="H41" s="11"/>
      <c r="I41" s="11"/>
      <c r="J41" s="29">
        <f>J26</f>
        <v>582189.09986391035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3313408.6272871722</v>
      </c>
      <c r="K42" s="71">
        <f>K27</f>
        <v>0.3046181630628027</v>
      </c>
      <c r="L42" s="71">
        <f>L27</f>
        <v>0.31159678953855485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10632785.82</v>
      </c>
      <c r="K43" s="42">
        <f>SUM(K37:K42)</f>
        <v>0.99999999999999911</v>
      </c>
      <c r="L43" s="42">
        <f>SUM(L37:L42)</f>
        <v>0.99991950829067522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Robin Zheng</cp:lastModifiedBy>
  <cp:lastPrinted>2023-10-26T11:58:35Z</cp:lastPrinted>
  <dcterms:created xsi:type="dcterms:W3CDTF">2020-10-26T15:50:05Z</dcterms:created>
  <dcterms:modified xsi:type="dcterms:W3CDTF">2026-03-11T19:10:06Z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