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6" documentId="8_{ABA41C7E-2878-4D8F-9F59-C54595A907CE}" xr6:coauthVersionLast="47" xr6:coauthVersionMax="47" xr10:uidLastSave="{ED44C799-C1BF-4FA5-A085-B263864F0297}"/>
  <bookViews>
    <workbookView xWindow="32070" yWindow="171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<sst xmlns="http://schemas.openxmlformats.org/spreadsheetml/2006/main" count="91" uniqueCount="51">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</sst>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45567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11625000</v>
      </c>
      <c r="J6" t="s">
        <v>27</v>
      </c>
    </row>
    <row r="7" spans="1:12" x14ac:dyDescent="0.3">
      <c r="J7" s="63">
        <f>(D25+D26)/B6</f>
        <v>0.94572993634408598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1.1035944069835455</v>
      </c>
      <c r="H10" s="54">
        <v>62.6</v>
      </c>
      <c r="I10" s="5"/>
      <c r="J10" s="10">
        <f>D10*E10*G10*H10</f>
        <v>6148565.879068126</v>
      </c>
      <c r="K10" s="60">
        <v>0.53875798747425296</v>
      </c>
      <c r="L10" s="21">
        <f t="shared" ref="L10:L14" si="0">J10/$B$6</f>
        <v>0.52890889282306464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1.1035944069835455</v>
      </c>
      <c r="H11" s="54">
        <v>64.540000000000006</v>
      </c>
      <c r="I11" s="5"/>
      <c r="J11" s="10">
        <f t="shared" ref="J11:J12" si="1">D11*E11*G11*H11</f>
        <v>569807.86421374429</v>
      </c>
      <c r="K11" s="60">
        <v>4.8449336934786397E-2</v>
      </c>
      <c r="L11" s="21">
        <f t="shared" si="0"/>
        <v>4.9015730254945745E-2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1.3249420337860218</v>
      </c>
      <c r="H12" s="54">
        <v>35.57</v>
      </c>
      <c r="I12" s="5"/>
      <c r="J12" s="10">
        <f t="shared" si="1"/>
        <v>471281.88141768792</v>
      </c>
      <c r="K12" s="60">
        <v>4.3427432912461997E-2</v>
      </c>
      <c r="L12" s="21">
        <f t="shared" si="0"/>
        <v>4.0540376896145196E-2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36.4</v>
      </c>
      <c r="I13" s="5"/>
      <c r="J13" s="10">
        <f>D13*E13*H13</f>
        <v>2948400</v>
      </c>
      <c r="K13" s="60">
        <v>0.26627635760378998</v>
      </c>
      <c r="L13" s="21">
        <f t="shared" si="0"/>
        <v>0.25362580645161292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38.409999999999997</v>
      </c>
      <c r="I14" s="5"/>
      <c r="J14" s="10">
        <f>D14*E14*H14</f>
        <v>576150</v>
      </c>
      <c r="K14" s="60">
        <v>5.25556789865472E-2</v>
      </c>
      <c r="L14" s="21">
        <f t="shared" si="0"/>
        <v>4.9561290322580644E-2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19.29</v>
      </c>
      <c r="I15" s="12"/>
      <c r="J15" s="14">
        <f>D15*E15*H15</f>
        <v>578700</v>
      </c>
      <c r="K15" s="61">
        <v>5.05332060881604E-2</v>
      </c>
      <c r="L15" s="21">
        <f>J15/$B$6</f>
        <v>4.978064516129032E-2</v>
      </c>
    </row>
    <row r="16" spans="1:12" ht="15" thickBot="1" x14ac:dyDescent="0.35">
      <c r="J16" s="35">
        <f>SUM(J10:J15)</f>
        <v>11292905.624699559</v>
      </c>
      <c r="K16" s="36">
        <f>SUM(K10:K15)</f>
        <v>0.99999999999999889</v>
      </c>
      <c r="L16" s="37">
        <f>SUM(L10:L15)</f>
        <v>0.97143274190963946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0.58720732440903933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1.1035944069835455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1.3249420337860218</v>
      </c>
      <c r="H23" s="41"/>
      <c r="I23" s="41"/>
      <c r="J23" s="43">
        <f>D23*G23</f>
        <v>0</v>
      </c>
      <c r="K23" s="44">
        <f>K12</f>
        <v>4.3427432912461997E-2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0.36936524267849763</v>
      </c>
      <c r="L24" s="25">
        <f>SUM(J24:J28)/$B$6</f>
        <v>0.99949337720430109</v>
      </c>
    </row>
    <row r="25" spans="1:13" x14ac:dyDescent="0.3">
      <c r="A25" s="6" t="s">
        <v>13</v>
      </c>
      <c r="B25" s="6"/>
      <c r="C25" s="6"/>
      <c r="D25" s="54">
        <v>1367635.64</v>
      </c>
      <c r="E25" s="24">
        <v>1</v>
      </c>
      <c r="F25" s="8" t="s">
        <v>5</v>
      </c>
      <c r="G25" s="8"/>
      <c r="H25" s="5"/>
      <c r="I25" s="5"/>
      <c r="J25" s="7">
        <f>D25</f>
        <v>1367635.64</v>
      </c>
      <c r="K25" s="5"/>
      <c r="L25" s="5"/>
    </row>
    <row r="26" spans="1:13" x14ac:dyDescent="0.3">
      <c r="A26" s="6" t="s">
        <v>14</v>
      </c>
      <c r="B26" s="6"/>
      <c r="C26" s="6"/>
      <c r="D26" s="54">
        <v>9626474.8699999992</v>
      </c>
      <c r="E26" s="24">
        <v>1</v>
      </c>
      <c r="F26" s="8" t="s">
        <v>5</v>
      </c>
      <c r="G26" s="8"/>
      <c r="H26" s="5"/>
      <c r="I26" s="5"/>
      <c r="J26" s="7">
        <f>D26</f>
        <v>9626474.8699999992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11619110.51</v>
      </c>
      <c r="K29" s="46">
        <f>SUM(K21:K28)</f>
        <v>0.99999999999999889</v>
      </c>
      <c r="L29" s="46">
        <f>SUM(L21:L28)</f>
        <v>0.99949337720430109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0.58720732440903933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4.3427432912461997E-2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11619110.51</v>
      </c>
      <c r="K37" s="67">
        <f>K24</f>
        <v>0.36936524267849763</v>
      </c>
      <c r="L37" s="67">
        <f>L24</f>
        <v>0.99949337720430109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11619110.51</v>
      </c>
      <c r="K38" s="46">
        <f>SUM(K34:K37)</f>
        <v>0.99999999999999889</v>
      </c>
      <c r="L38" s="46">
        <f>SUM(L34:L37)</f>
        <v>0.99949337720430109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2024-10-03T11:58:48Z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