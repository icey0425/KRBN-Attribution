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9DC99E7-5D1A-47A1-AAE2-A7011853163D}" xr6:coauthVersionLast="47" xr6:coauthVersionMax="47" xr10:uidLastSave="{449248F4-45B7-4B32-88AE-41F153DE7973}"/>
  <bookViews>
    <workbookView xWindow="30705" yWindow="390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<sst xmlns="http://schemas.openxmlformats.org/spreadsheetml/2006/main" count="91" uniqueCount="51">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</sst>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45621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12056949.279999999</v>
      </c>
      <c r="J6" t="s">
        <v>27</v>
      </c>
    </row>
    <row r="7" spans="1:12" x14ac:dyDescent="0.3">
      <c r="J7" s="63">
        <f>(D25+D26)/B6</f>
        <v>0.94905464261851813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1.0488446975656314</v>
      </c>
      <c r="H10" s="54">
        <v>69.86</v>
      </c>
      <c r="I10" s="5"/>
      <c r="J10" s="10">
        <f>D10*E10*G10*H10</f>
        <v>6521233.8609022154</v>
      </c>
      <c r="K10" s="60">
        <v>0.55763288817178303</v>
      </c>
      <c r="L10" s="21">
        <f t="shared" ref="L10:L14" si="0">J10/$B$6</f>
        <v>0.54086931191786647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1.0488446975656314</v>
      </c>
      <c r="H11" s="54">
        <v>71.989999999999995</v>
      </c>
      <c r="I11" s="5"/>
      <c r="J11" s="10">
        <f t="shared" ref="J11:J12" si="1">D11*E11*G11*H11</f>
        <v>604050.63822199835</v>
      </c>
      <c r="K11" s="60">
        <v>5.0122354059406397E-2</v>
      </c>
      <c r="L11" s="21">
        <f t="shared" si="0"/>
        <v>5.0099790933349465E-2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1.255098839033574</v>
      </c>
      <c r="H12" s="54">
        <v>37.479999999999997</v>
      </c>
      <c r="I12" s="5"/>
      <c r="J12" s="10">
        <f t="shared" si="1"/>
        <v>470411.04486978351</v>
      </c>
      <c r="K12" s="60">
        <v>4.2301662324679197E-2</v>
      </c>
      <c r="L12" s="21">
        <f t="shared" si="0"/>
        <v>3.9015760450290586E-2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33.56</v>
      </c>
      <c r="I13" s="5"/>
      <c r="J13" s="10">
        <f>D13*E13*H13</f>
        <v>2718360</v>
      </c>
      <c r="K13" s="60">
        <v>0.239580736186155</v>
      </c>
      <c r="L13" s="21">
        <f t="shared" si="0"/>
        <v>0.2254600178595095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35.61</v>
      </c>
      <c r="I14" s="5"/>
      <c r="J14" s="10">
        <f>D14*E14*H14</f>
        <v>534150</v>
      </c>
      <c r="K14" s="60">
        <v>4.75495090020766E-2</v>
      </c>
      <c r="L14" s="21">
        <f t="shared" si="0"/>
        <v>4.4302251555959106E-2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24.57</v>
      </c>
      <c r="I15" s="12"/>
      <c r="J15" s="14">
        <f>D15*E15*H15</f>
        <v>737100</v>
      </c>
      <c r="K15" s="61">
        <v>6.2812850255898403E-2</v>
      </c>
      <c r="L15" s="21">
        <f>J15/$B$6</f>
        <v>6.1134867774777606E-2</v>
      </c>
    </row>
    <row r="16" spans="1:12" ht="15" thickBot="1" x14ac:dyDescent="0.35">
      <c r="J16" s="35">
        <f>SUM(J10:J15)</f>
        <v>11585305.543993998</v>
      </c>
      <c r="K16" s="36">
        <f>SUM(K10:K15)</f>
        <v>0.99999999999999867</v>
      </c>
      <c r="L16" s="37">
        <f>SUM(L10:L15)</f>
        <v>0.96088200049175276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1.0513999999999999</v>
      </c>
      <c r="I21" s="23"/>
      <c r="J21" s="7">
        <f>D21*E21*H21</f>
        <v>6834099.9999999991</v>
      </c>
      <c r="K21" s="27">
        <f>SUM(K10:K11)</f>
        <v>0.60775524223118937</v>
      </c>
      <c r="L21" s="25">
        <f>SUM(J21:J22)/$B$6</f>
        <v>0.56681834196120962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1.0488446975656314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1.255098839033574</v>
      </c>
      <c r="H23" s="41"/>
      <c r="I23" s="41"/>
      <c r="J23" s="43">
        <f>D23*G23</f>
        <v>0</v>
      </c>
      <c r="K23" s="44">
        <f>K12</f>
        <v>4.2301662324679197E-2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-6834099.9999999991</v>
      </c>
      <c r="K24" s="29">
        <f>SUM(K13:K15)</f>
        <v>0.34994309544412999</v>
      </c>
      <c r="L24" s="25">
        <f>SUM(J24:J28)/$B$6</f>
        <v>0.43370369971399608</v>
      </c>
    </row>
    <row r="25" spans="1:13" x14ac:dyDescent="0.3">
      <c r="A25" s="6" t="s">
        <v>13</v>
      </c>
      <c r="B25" s="6"/>
      <c r="C25" s="6"/>
      <c r="D25" s="54">
        <v>1934903.66</v>
      </c>
      <c r="E25" s="24">
        <v>1</v>
      </c>
      <c r="F25" s="8" t="s">
        <v>5</v>
      </c>
      <c r="G25" s="8"/>
      <c r="H25" s="5"/>
      <c r="I25" s="5"/>
      <c r="J25" s="7">
        <f>D25</f>
        <v>1934903.66</v>
      </c>
      <c r="K25" s="5"/>
      <c r="L25" s="5"/>
    </row>
    <row r="26" spans="1:13" x14ac:dyDescent="0.3">
      <c r="A26" s="6" t="s">
        <v>14</v>
      </c>
      <c r="B26" s="6"/>
      <c r="C26" s="6"/>
      <c r="D26" s="54">
        <v>9507800.0299999993</v>
      </c>
      <c r="E26" s="24">
        <v>1</v>
      </c>
      <c r="F26" s="8" t="s">
        <v>5</v>
      </c>
      <c r="G26" s="8"/>
      <c r="H26" s="5"/>
      <c r="I26" s="5"/>
      <c r="J26" s="7">
        <f>D26</f>
        <v>9507800.0299999993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12063243.51</v>
      </c>
      <c r="K29" s="46">
        <f>SUM(K21:K28)</f>
        <v>0.99999999999999867</v>
      </c>
      <c r="L29" s="46">
        <f>SUM(L21:L28)</f>
        <v>1.0005220416752056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1.0513999999999999</v>
      </c>
      <c r="I34" s="23"/>
      <c r="J34" s="7">
        <f>J21</f>
        <v>6834099.9999999991</v>
      </c>
      <c r="K34" s="27">
        <f>SUM(K10:K11)</f>
        <v>0.60775524223118937</v>
      </c>
      <c r="L34" s="25">
        <f>SUM(J34:J35)/$B$6</f>
        <v>0.56681834196120962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4.2301662324679197E-2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5229143.5100000007</v>
      </c>
      <c r="K37" s="67">
        <f>K24</f>
        <v>0.34994309544412999</v>
      </c>
      <c r="L37" s="67">
        <f>L24</f>
        <v>0.43370369971399608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12063243.51</v>
      </c>
      <c r="K38" s="46">
        <f>SUM(K34:K37)</f>
        <v>0.99999999999999867</v>
      </c>
      <c r="L38" s="46">
        <f>SUM(L34:L37)</f>
        <v>1.0005220416752056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2024-11-26T13:26:09Z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