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9807307-3B58-4B20-87E6-91D1E0A431BF}" xr6:coauthVersionLast="47" xr6:coauthVersionMax="47" xr10:uidLastSave="{08BD8B63-15A7-4F72-958D-06C2FFB9BA97}"/>
  <bookViews>
    <workbookView xWindow="30180" yWindow="4305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<sst xmlns="http://schemas.openxmlformats.org/spreadsheetml/2006/main" count="91" uniqueCount="51">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</sst>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45616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11936312.52</v>
      </c>
      <c r="J6" t="s">
        <v>27</v>
      </c>
    </row>
    <row r="7" spans="1:12" x14ac:dyDescent="0.3">
      <c r="J7" s="63">
        <f>(D25+D26)/B6</f>
        <v>0.9484178033234002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1.052044648774894</v>
      </c>
      <c r="H10" s="54">
        <v>68.38</v>
      </c>
      <c r="I10" s="5"/>
      <c r="J10" s="10">
        <f>D10*E10*G10*H10</f>
        <v>6402554.3644072246</v>
      </c>
      <c r="K10" s="60">
        <v>0.55348700799162498</v>
      </c>
      <c r="L10" s="21">
        <f t="shared" ref="L10:L14" si="0">J10/$B$6</f>
        <v>0.53639299018682407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1.052044648774894</v>
      </c>
      <c r="H11" s="54">
        <v>70.53</v>
      </c>
      <c r="I11" s="5"/>
      <c r="J11" s="10">
        <f t="shared" ref="J11:J12" si="1">D11*E11*G11*H11</f>
        <v>593605.67262474622</v>
      </c>
      <c r="K11" s="60">
        <v>4.9795684484675397E-2</v>
      </c>
      <c r="L11" s="21">
        <f t="shared" si="0"/>
        <v>4.973107663108893E-2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1.2652462169138115</v>
      </c>
      <c r="H12" s="54">
        <v>36.93</v>
      </c>
      <c r="I12" s="5"/>
      <c r="J12" s="10">
        <f t="shared" si="1"/>
        <v>467255.42790627055</v>
      </c>
      <c r="K12" s="60">
        <v>4.2478650775810797E-2</v>
      </c>
      <c r="L12" s="21">
        <f t="shared" si="0"/>
        <v>3.9145709960539017E-2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33.409999999999997</v>
      </c>
      <c r="I13" s="5"/>
      <c r="J13" s="10">
        <f>D13*E13*H13</f>
        <v>2706209.9999999995</v>
      </c>
      <c r="K13" s="60">
        <v>0.24112484231282</v>
      </c>
      <c r="L13" s="21">
        <f t="shared" si="0"/>
        <v>0.22672077289075535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35.450000000000003</v>
      </c>
      <c r="I14" s="5"/>
      <c r="J14" s="10">
        <f>D14*E14*H14</f>
        <v>531750</v>
      </c>
      <c r="K14" s="60">
        <v>4.7854836930681897E-2</v>
      </c>
      <c r="L14" s="21">
        <f t="shared" si="0"/>
        <v>4.454893411252607E-2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25.25</v>
      </c>
      <c r="I15" s="12"/>
      <c r="J15" s="14">
        <f>D15*E15*H15</f>
        <v>757500</v>
      </c>
      <c r="K15" s="61">
        <v>6.5258977504385501E-2</v>
      </c>
      <c r="L15" s="21">
        <f>J15/$B$6</f>
        <v>6.3461810230819926E-2</v>
      </c>
    </row>
    <row r="16" spans="1:12" ht="15" thickBot="1" x14ac:dyDescent="0.35">
      <c r="J16" s="35">
        <f>SUM(J10:J15)</f>
        <v>11458875.46493824</v>
      </c>
      <c r="K16" s="36">
        <f>SUM(K10:K15)</f>
        <v>0.99999999999999867</v>
      </c>
      <c r="L16" s="37">
        <f>SUM(L10:L15)</f>
        <v>0.9600012940125533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1.05505</v>
      </c>
      <c r="I21" s="23"/>
      <c r="J21" s="7">
        <f>D21*E21*H21</f>
        <v>6857825</v>
      </c>
      <c r="K21" s="27">
        <f>SUM(K10:K11)</f>
        <v>0.6032826924763004</v>
      </c>
      <c r="L21" s="25">
        <f>SUM(J21:J22)/$B$6</f>
        <v>0.57453463860880882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1.052044648774894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1.2652462169138115</v>
      </c>
      <c r="H23" s="41"/>
      <c r="I23" s="41"/>
      <c r="J23" s="43">
        <f>D23*G23</f>
        <v>0</v>
      </c>
      <c r="K23" s="44">
        <f>K12</f>
        <v>4.2478650775810797E-2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-6857825</v>
      </c>
      <c r="K24" s="29">
        <f>SUM(K13:K15)</f>
        <v>0.35423865674788735</v>
      </c>
      <c r="L24" s="25">
        <f>SUM(J24:J28)/$B$6</f>
        <v>0.42587072946377585</v>
      </c>
    </row>
    <row r="25" spans="1:13" x14ac:dyDescent="0.3">
      <c r="A25" s="6" t="s">
        <v>13</v>
      </c>
      <c r="B25" s="6"/>
      <c r="C25" s="6"/>
      <c r="D25" s="54">
        <v>1940851.86</v>
      </c>
      <c r="E25" s="24">
        <v>1</v>
      </c>
      <c r="F25" s="8" t="s">
        <v>5</v>
      </c>
      <c r="G25" s="8"/>
      <c r="H25" s="5"/>
      <c r="I25" s="5"/>
      <c r="J25" s="7">
        <f>D25</f>
        <v>1940851.86</v>
      </c>
      <c r="K25" s="5"/>
      <c r="L25" s="5"/>
    </row>
    <row r="26" spans="1:13" x14ac:dyDescent="0.3">
      <c r="A26" s="6" t="s">
        <v>14</v>
      </c>
      <c r="B26" s="6"/>
      <c r="C26" s="6"/>
      <c r="D26" s="54">
        <v>9379759.4399999995</v>
      </c>
      <c r="E26" s="24">
        <v>1</v>
      </c>
      <c r="F26" s="8" t="s">
        <v>5</v>
      </c>
      <c r="G26" s="8"/>
      <c r="H26" s="5"/>
      <c r="I26" s="5"/>
      <c r="J26" s="7">
        <f>D26</f>
        <v>9379759.4399999995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620539.81999999995</v>
      </c>
      <c r="E28" s="26">
        <v>1</v>
      </c>
      <c r="F28" s="12" t="s">
        <v>5</v>
      </c>
      <c r="G28" s="12"/>
      <c r="H28" s="12"/>
      <c r="I28" s="12"/>
      <c r="J28" s="14">
        <f>D28</f>
        <v>620539.81999999995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11941151.119999999</v>
      </c>
      <c r="K29" s="46">
        <f>SUM(K21:K28)</f>
        <v>0.99999999999999856</v>
      </c>
      <c r="L29" s="46">
        <f>SUM(L21:L28)</f>
        <v>1.0004053680725846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1.05505</v>
      </c>
      <c r="I34" s="23"/>
      <c r="J34" s="7">
        <f>J21</f>
        <v>6857825</v>
      </c>
      <c r="K34" s="27">
        <f>SUM(K10:K11)</f>
        <v>0.6032826924763004</v>
      </c>
      <c r="L34" s="25">
        <f>SUM(J34:J35)/$B$6</f>
        <v>0.57453463860880882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4.2478650775810797E-2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5083326.12</v>
      </c>
      <c r="K37" s="67">
        <f>K24</f>
        <v>0.35423865674788735</v>
      </c>
      <c r="L37" s="67">
        <f>L24</f>
        <v>0.42587072946377585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11941151.120000001</v>
      </c>
      <c r="K38" s="46">
        <f>SUM(K34:K37)</f>
        <v>0.99999999999999856</v>
      </c>
      <c r="L38" s="46">
        <f>SUM(L34:L37)</f>
        <v>1.0004053680725846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2024-11-21T13:13:33Z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