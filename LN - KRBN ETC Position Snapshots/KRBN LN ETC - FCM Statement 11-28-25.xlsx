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2D78D5BF-615B-445D-AF3F-0DBFB5C06A04}" xr6:coauthVersionLast="47" xr6:coauthVersionMax="47" xr10:uidLastSave="{0692E834-AC67-4091-B0BB-282192C35F36}"/>
  <bookViews>
    <workbookView xWindow="30105" yWindow="6585" windowWidth="22095" windowHeight="9915" xr2:uid="{C2889EAE-1B00-4717-B291-92943FB680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<sst xmlns="http://schemas.openxmlformats.org/spreadsheetml/2006/main" count="103" uniqueCount="56">
  <si>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</si>
  <si>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</si>
  <si>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</si>
  <si>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</si>
  <si>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</si>
  <si>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</si>
  <si>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</si>
  <si>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</si>
  <si>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</si>
  <si>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</si>
  <si>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</si>
  <si>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</si>
  <si>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</si>
  <si>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</si>
  <si>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</si>
  <si>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</si>
  <si>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</si>
  <si>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</si>
  <si>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</si>
  <si>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</si>
  <si>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</si>
  <si>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</si>
  <si>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</si>
  <si>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</si>
  <si>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</si>
  <si>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</si>
  <si>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</si>
  <si>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</si>
  <si>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</si>
  <si>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</si>
  <si>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</si>
  <si>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</si>
  <si>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</si>
  <si>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</si>
  <si>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</si>
  <si>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</si>
  <si>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</si>
  <si>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</si>
  <si>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</si>
  <si>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</si>
  <si>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</si>
  <si>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</si>
  <si>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</si>
  <si>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</si>
  <si>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</si>
  <si>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</si>
  <si>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</si>
  <si>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</si>
  <si>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</si>
  <si>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</si>
  <si>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</si>
  <si>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</si>
  <si>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</si>
  <si>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</si>
  <si>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ECZ5 Curncy</t>
  </si>
  <si>
    <t>EURO FX CURR FUT  Dec25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</si>
</sst>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5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  <xf numFmtId="44" fontId="0" fillId="0" borderId="0" xfId="2" applyFon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3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3" ht="23.1" customHeight="1" x14ac:dyDescent="0.3">
      <c r="A2" t="s">
        <v>34</v>
      </c>
      <c r="J2" s="43"/>
      <c r="K2" s="44"/>
      <c r="L2" s="45"/>
    </row>
    <row r="3" spans="1:13" x14ac:dyDescent="0.3">
      <c r="A3" t="s">
        <v>15</v>
      </c>
      <c r="B3" s="56">
        <v>45989</v>
      </c>
    </row>
    <row r="4" spans="1:13" x14ac:dyDescent="0.3">
      <c r="A4" t="s">
        <v>20</v>
      </c>
      <c r="B4">
        <v>0</v>
      </c>
    </row>
    <row r="5" spans="1:13" x14ac:dyDescent="0.3">
      <c r="A5" t="s">
        <v>21</v>
      </c>
      <c r="B5" s="74">
        <v>0</v>
      </c>
    </row>
    <row r="6" spans="1:13" x14ac:dyDescent="0.3">
      <c r="A6" s="2" t="s">
        <v>19</v>
      </c>
      <c r="B6" s="37">
        <v>10059811.92</v>
      </c>
      <c r="J6" t="s">
        <v>25</v>
      </c>
    </row>
    <row r="7" spans="1:13" x14ac:dyDescent="0.3">
      <c r="J7" s="57">
        <f>(D28+D29)/B6</f>
        <v>0.98077933747294155</v>
      </c>
      <c r="K7" s="18"/>
    </row>
    <row r="8" spans="1:13" ht="15" thickBot="1" x14ac:dyDescent="0.35">
      <c r="A8" s="2" t="s">
        <v>26</v>
      </c>
    </row>
    <row r="9" spans="1:13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3" x14ac:dyDescent="0.3">
      <c r="A10" s="4" t="s">
        <v>27</v>
      </c>
      <c r="B10" s="5" t="s">
        <v>28</v>
      </c>
      <c r="C10" s="8" t="s">
        <v>29</v>
      </c>
      <c r="D10" s="48">
        <v>58</v>
      </c>
      <c r="E10" s="46">
        <v>1000</v>
      </c>
      <c r="F10" s="4" t="s">
        <v>4</v>
      </c>
      <c r="G10" s="62">
        <v>1.1605505651881254</v>
      </c>
      <c r="H10" s="49">
        <v>83.26</v>
      </c>
      <c r="I10" s="4"/>
      <c r="J10" s="9">
        <f>D10*E10*G10*H10</f>
        <v>5604391.5233386727</v>
      </c>
      <c r="K10" s="54">
        <v>0.56080346944156301</v>
      </c>
      <c r="L10" s="20">
        <f t="shared" ref="L10:L15" si="0">J10/$B$6</f>
        <v>0.55710698847127882</v>
      </c>
    </row>
    <row r="11" spans="1:13" x14ac:dyDescent="0.3">
      <c r="A11" s="4" t="s">
        <v>35</v>
      </c>
      <c r="B11" s="5" t="s">
        <v>36</v>
      </c>
      <c r="C11" s="8" t="s">
        <v>37</v>
      </c>
      <c r="D11" s="48">
        <v>5</v>
      </c>
      <c r="E11" s="46">
        <v>1000</v>
      </c>
      <c r="F11" s="4" t="s">
        <v>4</v>
      </c>
      <c r="G11" s="62">
        <v>1.1605505651881254</v>
      </c>
      <c r="H11" s="49">
        <v>85.44</v>
      </c>
      <c r="I11" s="4"/>
      <c r="J11" s="9">
        <f t="shared" ref="J11:J12" si="1">D11*E11*G11*H11</f>
        <v>495787.20144836715</v>
      </c>
      <c r="K11" s="54">
        <v>5.09987544261589E-2</v>
      </c>
      <c r="L11" s="20">
        <f t="shared" si="0"/>
        <v>4.9283943416744032E-2</v>
      </c>
    </row>
    <row r="12" spans="1:13" x14ac:dyDescent="0.3">
      <c r="A12" s="4" t="s">
        <v>38</v>
      </c>
      <c r="B12" s="5" t="s">
        <v>39</v>
      </c>
      <c r="C12" s="8" t="s">
        <v>40</v>
      </c>
      <c r="D12" s="48">
        <v>6</v>
      </c>
      <c r="E12" s="46">
        <v>1000</v>
      </c>
      <c r="F12" s="4" t="s">
        <v>22</v>
      </c>
      <c r="G12" s="62">
        <v>1.3249947000211999</v>
      </c>
      <c r="H12" s="49">
        <v>58.28</v>
      </c>
      <c r="I12" s="4"/>
      <c r="J12" s="9">
        <f t="shared" si="1"/>
        <v>463324.14670341322</v>
      </c>
      <c r="K12" s="54">
        <v>4.7112197852752599E-2</v>
      </c>
      <c r="L12" s="20">
        <f t="shared" si="0"/>
        <v>4.6056939273613498E-2</v>
      </c>
    </row>
    <row r="13" spans="1:13" x14ac:dyDescent="0.3">
      <c r="A13" s="4" t="s">
        <v>30</v>
      </c>
      <c r="B13" s="5" t="s">
        <v>31</v>
      </c>
      <c r="C13" s="8" t="s">
        <v>32</v>
      </c>
      <c r="D13" s="48">
        <v>60</v>
      </c>
      <c r="E13" s="46">
        <v>1000</v>
      </c>
      <c r="F13" s="4" t="s">
        <v>5</v>
      </c>
      <c r="G13" s="47"/>
      <c r="H13" s="49">
        <v>29.5</v>
      </c>
      <c r="I13" s="4"/>
      <c r="J13" s="9">
        <f>D13*E13*H13</f>
        <v>1770000</v>
      </c>
      <c r="K13" s="54">
        <v>0.185276184301612</v>
      </c>
      <c r="L13" s="20">
        <f t="shared" si="0"/>
        <v>0.1759476234820104</v>
      </c>
    </row>
    <row r="14" spans="1:13" x14ac:dyDescent="0.3">
      <c r="A14" s="4" t="s">
        <v>41</v>
      </c>
      <c r="B14" s="5" t="s">
        <v>42</v>
      </c>
      <c r="C14" s="8" t="s">
        <v>43</v>
      </c>
      <c r="D14" s="48">
        <v>15</v>
      </c>
      <c r="E14" s="46">
        <v>1000</v>
      </c>
      <c r="F14" s="4" t="s">
        <v>5</v>
      </c>
      <c r="G14" s="47"/>
      <c r="H14" s="49">
        <v>31.05</v>
      </c>
      <c r="I14" s="4"/>
      <c r="J14" s="9">
        <f>D14*E14*H14</f>
        <v>465750</v>
      </c>
      <c r="K14" s="54">
        <v>4.5706774791048503E-2</v>
      </c>
      <c r="L14" s="20">
        <f t="shared" ref="L14" si="2">J14/$B$6</f>
        <v>4.6298082280647648E-2</v>
      </c>
      <c r="M14" s="18"/>
    </row>
    <row r="15" spans="1:13" x14ac:dyDescent="0.3">
      <c r="A15" s="4" t="s">
        <v>44</v>
      </c>
      <c r="B15" s="5" t="s">
        <v>45</v>
      </c>
      <c r="C15" s="8" t="s">
        <v>46</v>
      </c>
      <c r="D15" s="48">
        <v>21</v>
      </c>
      <c r="E15" s="46">
        <v>1000</v>
      </c>
      <c r="F15" s="4" t="s">
        <v>5</v>
      </c>
      <c r="G15" s="4"/>
      <c r="H15" s="49">
        <v>28.64</v>
      </c>
      <c r="I15" s="4"/>
      <c r="J15" s="9">
        <f>D15*E15*H15</f>
        <v>601440</v>
      </c>
      <c r="K15" s="54">
        <v>6.0423213474608099E-2</v>
      </c>
      <c r="L15" s="20">
        <f t="shared" si="0"/>
        <v>5.978640602656516E-2</v>
      </c>
    </row>
    <row r="16" spans="1:13" ht="15" thickBot="1" x14ac:dyDescent="0.35">
      <c r="A16" s="11" t="s">
        <v>47</v>
      </c>
      <c r="B16" s="12" t="s">
        <v>48</v>
      </c>
      <c r="C16" s="12" t="s">
        <v>49</v>
      </c>
      <c r="D16" s="50">
        <v>7</v>
      </c>
      <c r="E16" s="51">
        <v>1000</v>
      </c>
      <c r="F16" s="11" t="s">
        <v>5</v>
      </c>
      <c r="G16" s="11"/>
      <c r="H16" s="52">
        <v>69.5</v>
      </c>
      <c r="I16" s="11"/>
      <c r="J16" s="13">
        <f>D16*E16*H16</f>
        <v>486500</v>
      </c>
      <c r="K16" s="55">
        <v>4.9679405712255299E-2</v>
      </c>
      <c r="L16" s="20">
        <f>J16/$B$6</f>
        <v>4.8360745098303987E-2</v>
      </c>
    </row>
    <row r="17" spans="1:13" ht="15" thickBot="1" x14ac:dyDescent="0.35">
      <c r="J17" s="33">
        <f>SUM(J10:J16)</f>
        <v>9887192.8714904524</v>
      </c>
      <c r="K17" s="34">
        <f>SUM(K10:K16)</f>
        <v>0.99999999999999822</v>
      </c>
      <c r="L17" s="35">
        <f>SUM(L10:L16)</f>
        <v>0.98284072804916367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30</v>
      </c>
      <c r="E22" s="46">
        <v>125000</v>
      </c>
      <c r="F22" s="4" t="s">
        <v>5</v>
      </c>
      <c r="G22" s="22"/>
      <c r="H22" s="53">
        <v>1.1611500000000001</v>
      </c>
      <c r="I22" s="22"/>
      <c r="J22" s="6">
        <f>D22*E22*H22</f>
        <v>4354312.5000000009</v>
      </c>
      <c r="K22" s="26">
        <f>SUM(K10:K11)</f>
        <v>0.61180222386772187</v>
      </c>
      <c r="L22" s="24">
        <f>SUM(J22:J24)/$B$6</f>
        <v>0.59508918560061375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1.1605505651881254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1406378</v>
      </c>
      <c r="E24" s="25">
        <v>1</v>
      </c>
      <c r="F24" s="11" t="s">
        <v>4</v>
      </c>
      <c r="G24" s="61">
        <v>1.1605505651881254</v>
      </c>
      <c r="H24" s="11"/>
      <c r="I24" s="11"/>
      <c r="J24" s="13">
        <f>D24*G24</f>
        <v>1632172.7827681454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1.3249947000211999</v>
      </c>
      <c r="H25" s="7"/>
      <c r="I25" s="7"/>
      <c r="J25" s="9">
        <f>D25*G25</f>
        <v>0</v>
      </c>
      <c r="K25" s="69">
        <f>K12</f>
        <v>4.7112197852752599E-2</v>
      </c>
      <c r="L25" s="69">
        <f>(SUM(J25:J26))/B6</f>
        <v>4.7056235768319812E-2</v>
      </c>
    </row>
    <row r="26" spans="1:13" ht="15" thickBot="1" x14ac:dyDescent="0.35">
      <c r="A26" s="64" t="s">
        <v>53</v>
      </c>
      <c r="B26" s="11"/>
      <c r="C26" s="11"/>
      <c r="D26" s="52">
        <v>357267</v>
      </c>
      <c r="E26" s="25">
        <v>1</v>
      </c>
      <c r="F26" s="11" t="s">
        <v>22</v>
      </c>
      <c r="G26" s="61">
        <v>1.3249947000211999</v>
      </c>
      <c r="H26" s="11"/>
      <c r="I26" s="11"/>
      <c r="J26" s="13">
        <f>D26*G26</f>
        <v>473376.881492474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-30</v>
      </c>
      <c r="E27" s="23">
        <v>-125000</v>
      </c>
      <c r="F27" s="7" t="s">
        <v>5</v>
      </c>
      <c r="G27" s="7"/>
      <c r="H27" s="7"/>
      <c r="I27" s="7"/>
      <c r="J27" s="9">
        <f>-J22</f>
        <v>-4354312.5000000009</v>
      </c>
      <c r="K27" s="65">
        <f>SUM(K13:K16)</f>
        <v>0.3410855782795239</v>
      </c>
      <c r="L27" s="20">
        <f>SUM(J27:J31)/$B$6</f>
        <v>0.35836852163925748</v>
      </c>
    </row>
    <row r="28" spans="1:13" x14ac:dyDescent="0.3">
      <c r="A28" s="5" t="s">
        <v>13</v>
      </c>
      <c r="B28" s="5"/>
      <c r="C28" s="5"/>
      <c r="D28" s="49">
        <v>1376522.1</v>
      </c>
      <c r="E28" s="23">
        <v>1</v>
      </c>
      <c r="F28" s="7" t="s">
        <v>5</v>
      </c>
      <c r="G28" s="7"/>
      <c r="H28" s="4"/>
      <c r="I28" s="4"/>
      <c r="J28" s="6">
        <f>D28</f>
        <v>1376522.1</v>
      </c>
      <c r="K28" s="4"/>
      <c r="L28" s="4"/>
    </row>
    <row r="29" spans="1:13" x14ac:dyDescent="0.3">
      <c r="A29" s="5" t="s">
        <v>14</v>
      </c>
      <c r="B29" s="5"/>
      <c r="C29" s="5"/>
      <c r="D29" s="49">
        <v>8489933.5700000003</v>
      </c>
      <c r="E29" s="23">
        <v>1</v>
      </c>
      <c r="F29" s="7" t="s">
        <v>5</v>
      </c>
      <c r="G29" s="7"/>
      <c r="H29" s="4"/>
      <c r="I29" s="4"/>
      <c r="J29" s="6">
        <f>D29-J26-J24</f>
        <v>6384383.905739381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198526.42</v>
      </c>
      <c r="E31" s="25">
        <v>1</v>
      </c>
      <c r="F31" s="11" t="s">
        <v>5</v>
      </c>
      <c r="G31" s="11"/>
      <c r="H31" s="11"/>
      <c r="I31" s="11"/>
      <c r="J31" s="13">
        <f>D31</f>
        <v>198526.42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10064982.09</v>
      </c>
      <c r="K32" s="42">
        <f>SUM(K22:K31)</f>
        <v>0.99999999999999833</v>
      </c>
      <c r="L32" s="42">
        <f>SUM(L22:L31)</f>
        <v>1.0005139430081911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30</v>
      </c>
      <c r="E37" s="23">
        <v>125000</v>
      </c>
      <c r="F37" s="4" t="s">
        <v>5</v>
      </c>
      <c r="G37" s="22"/>
      <c r="H37" s="31">
        <v>1.1611500000000001</v>
      </c>
      <c r="I37" s="22"/>
      <c r="J37" s="6">
        <f>J22</f>
        <v>4354312.5000000009</v>
      </c>
      <c r="K37" s="26">
        <f>SUM(K10:K11)</f>
        <v>0.61180222386772187</v>
      </c>
      <c r="L37" s="24">
        <f>SUM(J37:J39)/$B$6</f>
        <v>0.59508918560061375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1406378</v>
      </c>
      <c r="E39" s="25"/>
      <c r="F39" s="11" t="s">
        <v>4</v>
      </c>
      <c r="G39" s="11"/>
      <c r="H39" s="11"/>
      <c r="I39" s="11"/>
      <c r="J39" s="29">
        <f>J24</f>
        <v>1632172.7827681454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4.7112197852752599E-2</v>
      </c>
      <c r="L40" s="69">
        <f>(SUM(J40:J41))/$B$6</f>
        <v>4.7056235768319812E-2</v>
      </c>
    </row>
    <row r="41" spans="1:12" ht="15" thickBot="1" x14ac:dyDescent="0.35">
      <c r="A41" s="11" t="s">
        <v>53</v>
      </c>
      <c r="B41" s="11"/>
      <c r="C41" s="11"/>
      <c r="D41" s="29">
        <v>357267</v>
      </c>
      <c r="E41" s="25"/>
      <c r="F41" s="11" t="s">
        <v>22</v>
      </c>
      <c r="G41" s="11"/>
      <c r="H41" s="11"/>
      <c r="I41" s="11"/>
      <c r="J41" s="29">
        <f>J26</f>
        <v>473376.881492474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3605119.9257393801</v>
      </c>
      <c r="K42" s="71">
        <f>K27</f>
        <v>0.3410855782795239</v>
      </c>
      <c r="L42" s="71">
        <f>L27</f>
        <v>0.35836852163925748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10064982.09</v>
      </c>
      <c r="K43" s="42">
        <f>SUM(K37:K42)</f>
        <v>0.99999999999999833</v>
      </c>
      <c r="L43" s="42">
        <f>SUM(L37:L42)</f>
        <v>1.0005139430081911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2025-12-01T13:28:22Z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