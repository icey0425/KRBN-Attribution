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68" documentId="8_{F3F4119A-E29A-4A88-BAFF-C0AFA9DFA781}" xr6:coauthVersionLast="47" xr6:coauthVersionMax="47" xr10:uidLastSave="{5CA3BF36-4429-4CA0-BB39-9DFD6A39FFD8}"/>
  <bookViews>
    <workbookView xWindow="29985" yWindow="6345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2" i="1" l="1"/>
  <c r="D21" i="1"/>
  <c r="J13" i="1" l="1"/>
  <c r="L13" i="1" s="1"/>
  <c r="J27" i="1"/>
  <c r="L27" i="1" s="1"/>
  <c r="J26" i="1"/>
  <c r="L26" i="1" s="1"/>
  <c r="J25" i="1"/>
  <c r="L25" i="1" s="1"/>
  <c r="J24" i="1"/>
  <c r="L24" i="1" s="1"/>
  <c r="J22" i="1"/>
  <c r="L22" i="1" s="1"/>
  <c r="J21" i="1"/>
  <c r="L21" i="1" s="1"/>
  <c r="J20" i="1"/>
  <c r="J19" i="1"/>
  <c r="K16" i="1"/>
  <c r="J15" i="1"/>
  <c r="L15" i="1" s="1"/>
  <c r="J14" i="1"/>
  <c r="L14" i="1" s="1"/>
  <c r="J11" i="1"/>
  <c r="L11" i="1" s="1"/>
  <c r="J10" i="1"/>
  <c r="J28" i="1" l="1"/>
  <c r="L28" i="1" s="1"/>
  <c r="L20" i="1"/>
  <c r="J16" i="1"/>
  <c r="L10" i="1"/>
  <c r="L16" i="1" s="1"/>
</calcChain>
</file>

<file path=xl/sharedStrings.xml><?xml version="1.0" encoding="utf-8"?>
<sst xmlns="http://schemas.openxmlformats.org/spreadsheetml/2006/main" count="81" uniqueCount="54">
  <si>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</si>
  <si>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</si>
  <si>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</si>
  <si>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</si>
  <si>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</si>
  <si>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</si>
  <si>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</si>
  <si>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</si>
  <si>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Contract Size</t>
  </si>
  <si>
    <t>% NAV</t>
  </si>
  <si>
    <t>% Benchmark</t>
  </si>
  <si>
    <t>Statement Date:</t>
  </si>
  <si>
    <t>Current Exposure (USD)</t>
  </si>
  <si>
    <t>Position</t>
  </si>
  <si>
    <t>Total Assets:</t>
  </si>
  <si>
    <t>Create units:</t>
  </si>
  <si>
    <t>Inflows/Outflows:</t>
  </si>
  <si>
    <t>GBP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</si>
  <si>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</si>
  <si>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</si>
  <si>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</si>
  <si>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</si>
  <si>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</si>
  <si>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</si>
  <si>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</si>
  <si>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</si>
  <si>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</si>
  <si>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</si>
  <si>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</si>
  <si>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</si>
  <si>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</si>
  <si>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</si>
  <si>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</si>
  <si>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</si>
  <si>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</si>
  <si>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</si>
  <si>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</si>
  <si>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</si>
  <si>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</si>
  <si>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</si>
  <si>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</si>
  <si>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</si>
  <si>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EUA 27</t>
  </si>
  <si>
    <t>MOZ27 Comdty</t>
  </si>
  <si>
    <t>ICE ECX Emission  Dec27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</si>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</sst>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6" formatCode="0.0%"/>
    <numFmt numFmtId="168" formatCode="0.0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6" fontId="0" fillId="5" borderId="3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168" fontId="2" fillId="0" borderId="3" xfId="0" applyNumberFormat="1" applyFont="1" applyBorder="1"/>
    <xf numFmtId="0" fontId="0" fillId="0" borderId="11" xfId="0" quotePrefix="1" applyBorder="1"/>
    <xf numFmtId="44" fontId="0" fillId="0" borderId="0" xfId="2" applyFont="1"/>
    <xf numFmtId="0" fontId="11" fillId="0" borderId="1" xfId="0" applyFont="1" applyBorder="1"/>
    <xf numFmtId="0" fontId="11" fillId="0" borderId="1" xfId="0" quotePrefix="1" applyFont="1" applyBorder="1"/>
    <xf numFmtId="0" fontId="11" fillId="0" borderId="3" xfId="0" quotePrefix="1" applyFont="1" applyBorder="1"/>
    <xf numFmtId="164" fontId="12" fillId="0" borderId="1" xfId="1" applyNumberFormat="1" applyFont="1" applyFill="1" applyBorder="1"/>
    <xf numFmtId="164" fontId="11" fillId="0" borderId="3" xfId="1" applyNumberFormat="1" applyFont="1" applyFill="1" applyBorder="1"/>
    <xf numFmtId="168" fontId="12" fillId="0" borderId="3" xfId="0" applyNumberFormat="1" applyFont="1" applyBorder="1"/>
    <xf numFmtId="43" fontId="12" fillId="0" borderId="1" xfId="1" applyFont="1" applyFill="1" applyBorder="1"/>
    <xf numFmtId="43" fontId="11" fillId="0" borderId="3" xfId="1" applyFont="1" applyBorder="1"/>
    <xf numFmtId="166" fontId="11" fillId="5" borderId="3" xfId="3" applyNumberFormat="1" applyFont="1" applyFill="1" applyBorder="1"/>
    <xf numFmtId="166" fontId="11" fillId="0" borderId="3" xfId="3" applyNumberFormat="1" applyFont="1" applyBorder="1"/>
    <xf numFmtId="44" fontId="0" fillId="0" borderId="0" xfId="0" applyNumberFormat="1"/>
    <xf numFmtId="164" fontId="1" fillId="0" borderId="11" xfId="1" applyNumberFormat="1" applyFont="1" applyFill="1" applyBorder="1"/>
    <xf numFmtId="43" fontId="2" fillId="0" borderId="11" xfId="1" applyFont="1" applyFill="1" applyBorder="1"/>
    <xf numFmtId="43" fontId="0" fillId="0" borderId="11" xfId="1" applyFont="1" applyBorder="1"/>
    <xf numFmtId="166" fontId="0" fillId="5" borderId="11" xfId="3" applyNumberFormat="1" applyFont="1" applyFill="1" applyBorder="1"/>
    <xf numFmtId="0" fontId="10" fillId="0" borderId="1" xfId="0" applyFont="1" applyBorder="1"/>
    <xf numFmtId="0" fontId="10" fillId="0" borderId="1" xfId="0" quotePrefix="1" applyFont="1" applyBorder="1"/>
    <xf numFmtId="0" fontId="10" fillId="0" borderId="3" xfId="0" quotePrefix="1" applyFont="1" applyBorder="1"/>
    <xf numFmtId="164" fontId="13" fillId="0" borderId="1" xfId="1" applyNumberFormat="1" applyFont="1" applyFill="1" applyBorder="1"/>
    <xf numFmtId="164" fontId="10" fillId="0" borderId="3" xfId="1" applyNumberFormat="1" applyFont="1" applyFill="1" applyBorder="1"/>
    <xf numFmtId="168" fontId="13" fillId="0" borderId="3" xfId="0" applyNumberFormat="1" applyFont="1" applyBorder="1"/>
    <xf numFmtId="43" fontId="13" fillId="0" borderId="1" xfId="1" applyFont="1" applyFill="1" applyBorder="1"/>
    <xf numFmtId="43" fontId="10" fillId="0" borderId="3" xfId="1" applyFont="1" applyBorder="1"/>
    <xf numFmtId="166" fontId="10" fillId="5" borderId="3" xfId="3" applyNumberFormat="1" applyFont="1" applyFill="1" applyBorder="1"/>
    <xf numFmtId="166" fontId="10" fillId="0" borderId="3" xfId="3" applyNumberFormat="1" applyFont="1" applyBorder="1"/>
    <xf numFmtId="0" fontId="13" fillId="0" borderId="3" xfId="0" applyFont="1" applyBorder="1"/>
    <xf numFmtId="0" fontId="10" fillId="0" borderId="7" xfId="0" applyFont="1" applyBorder="1"/>
    <xf numFmtId="0" fontId="10" fillId="0" borderId="7" xfId="0" quotePrefix="1" applyFont="1" applyBorder="1"/>
    <xf numFmtId="164" fontId="13" fillId="0" borderId="7" xfId="1" applyNumberFormat="1" applyFont="1" applyFill="1" applyBorder="1"/>
    <xf numFmtId="164" fontId="10" fillId="0" borderId="7" xfId="1" applyNumberFormat="1" applyFont="1" applyFill="1" applyBorder="1"/>
    <xf numFmtId="43" fontId="13" fillId="0" borderId="7" xfId="1" applyFont="1" applyFill="1" applyBorder="1"/>
    <xf numFmtId="43" fontId="10" fillId="0" borderId="7" xfId="1" applyFont="1" applyBorder="1"/>
    <xf numFmtId="166" fontId="10" fillId="5" borderId="7" xfId="3" applyNumberFormat="1" applyFont="1" applyFill="1" applyBorder="1"/>
    <xf numFmtId="166" fontId="0" fillId="5" borderId="1" xfId="3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N2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  <col min="13" max="13" width="18.6640625" customWidth="1"/>
    <col min="14" max="14" width="14.5546875" bestFit="1" customWidth="1"/>
  </cols>
  <sheetData>
    <row r="1" spans="1:12" ht="22.95" customHeight="1" x14ac:dyDescent="0.45">
      <c r="A1" s="17" t="s">
        <v>25</v>
      </c>
      <c r="B1" s="15"/>
      <c r="C1" s="15"/>
      <c r="D1" s="15"/>
      <c r="E1" s="15"/>
      <c r="J1" s="24"/>
      <c r="K1" s="25"/>
      <c r="L1" s="26"/>
    </row>
    <row r="2" spans="1:12" ht="23.1" customHeight="1" x14ac:dyDescent="0.3">
      <c r="A2" t="s">
        <v>26</v>
      </c>
      <c r="J2" s="24"/>
      <c r="K2" s="25"/>
      <c r="L2" s="26"/>
    </row>
    <row r="3" spans="1:12" x14ac:dyDescent="0.3">
      <c r="A3" t="s">
        <v>11</v>
      </c>
      <c r="B3" s="32">
        <v>45989</v>
      </c>
    </row>
    <row r="4" spans="1:12" x14ac:dyDescent="0.3">
      <c r="A4" t="s">
        <v>15</v>
      </c>
      <c r="B4">
        <v>0</v>
      </c>
    </row>
    <row r="5" spans="1:12" x14ac:dyDescent="0.3">
      <c r="A5" t="s">
        <v>16</v>
      </c>
      <c r="B5" s="36">
        <v>0</v>
      </c>
    </row>
    <row r="6" spans="1:12" x14ac:dyDescent="0.3">
      <c r="A6" s="1" t="s">
        <v>14</v>
      </c>
      <c r="B6" s="21">
        <v>10059811.92</v>
      </c>
    </row>
    <row r="7" spans="1:12" x14ac:dyDescent="0.3">
      <c r="J7" s="33"/>
      <c r="K7" s="12"/>
    </row>
    <row r="8" spans="1:12" ht="15" thickBot="1" x14ac:dyDescent="0.35">
      <c r="A8" s="1" t="s">
        <v>18</v>
      </c>
    </row>
    <row r="9" spans="1:12" s="2" customFormat="1" ht="29.4" thickBot="1" x14ac:dyDescent="0.35">
      <c r="A9" s="9" t="s">
        <v>1</v>
      </c>
      <c r="B9" s="10" t="s">
        <v>7</v>
      </c>
      <c r="C9" s="10" t="s">
        <v>0</v>
      </c>
      <c r="D9" s="7" t="s">
        <v>13</v>
      </c>
      <c r="E9" s="7" t="s">
        <v>8</v>
      </c>
      <c r="F9" s="7" t="s">
        <v>3</v>
      </c>
      <c r="G9" s="7" t="s">
        <v>2</v>
      </c>
      <c r="H9" s="7" t="s">
        <v>6</v>
      </c>
      <c r="I9" s="11"/>
      <c r="J9" s="8" t="s">
        <v>12</v>
      </c>
      <c r="K9" s="13" t="s">
        <v>10</v>
      </c>
      <c r="L9" s="13" t="s">
        <v>9</v>
      </c>
    </row>
    <row r="10" spans="1:12" x14ac:dyDescent="0.3">
      <c r="A10" s="52" t="s">
        <v>19</v>
      </c>
      <c r="B10" s="53" t="s">
        <v>20</v>
      </c>
      <c r="C10" s="54" t="s">
        <v>21</v>
      </c>
      <c r="D10" s="55">
        <v>58</v>
      </c>
      <c r="E10" s="56">
        <v>1000</v>
      </c>
      <c r="F10" s="52" t="s">
        <v>4</v>
      </c>
      <c r="G10" s="57">
        <v>1.1605505651881254</v>
      </c>
      <c r="H10" s="58">
        <v>83.26</v>
      </c>
      <c r="I10" s="52"/>
      <c r="J10" s="59">
        <f>D10*E10*G10*H10</f>
        <v>5604391.5233386727</v>
      </c>
      <c r="K10" s="60">
        <v>0.56080346944156301</v>
      </c>
      <c r="L10" s="61">
        <f t="shared" ref="L10:L14" si="0">J10/$B$6</f>
        <v>0.55710698847127882</v>
      </c>
    </row>
    <row r="11" spans="1:12" x14ac:dyDescent="0.3">
      <c r="A11" s="52" t="s">
        <v>30</v>
      </c>
      <c r="B11" s="53" t="s">
        <v>31</v>
      </c>
      <c r="C11" s="54" t="s">
        <v>32</v>
      </c>
      <c r="D11" s="55">
        <v>6</v>
      </c>
      <c r="E11" s="56">
        <v>1000</v>
      </c>
      <c r="F11" s="52" t="s">
        <v>17</v>
      </c>
      <c r="G11" s="57">
        <v>1.3249947000211999</v>
      </c>
      <c r="H11" s="58">
        <v>58.28</v>
      </c>
      <c r="I11" s="52"/>
      <c r="J11" s="59">
        <f t="shared" ref="J11" si="1">D11*E11*G11*H11</f>
        <v>463324.14670341322</v>
      </c>
      <c r="K11" s="60">
        <v>4.7112197852752599E-2</v>
      </c>
      <c r="L11" s="61">
        <f t="shared" si="0"/>
        <v>4.6056939273613498E-2</v>
      </c>
    </row>
    <row r="12" spans="1:12" x14ac:dyDescent="0.3">
      <c r="A12" s="52"/>
      <c r="B12" s="53"/>
      <c r="C12" s="54"/>
      <c r="D12" s="55"/>
      <c r="E12" s="56"/>
      <c r="F12" s="52"/>
      <c r="G12" s="57"/>
      <c r="H12" s="58"/>
      <c r="I12" s="52"/>
      <c r="J12" s="59"/>
      <c r="K12" s="60"/>
      <c r="L12" s="61"/>
    </row>
    <row r="13" spans="1:12" x14ac:dyDescent="0.3">
      <c r="A13" s="52" t="s">
        <v>22</v>
      </c>
      <c r="B13" s="53" t="s">
        <v>23</v>
      </c>
      <c r="C13" s="54" t="s">
        <v>24</v>
      </c>
      <c r="D13" s="55">
        <v>60</v>
      </c>
      <c r="E13" s="56">
        <v>1000</v>
      </c>
      <c r="F13" s="52" t="s">
        <v>5</v>
      </c>
      <c r="G13" s="62"/>
      <c r="H13" s="58">
        <v>29.5</v>
      </c>
      <c r="I13" s="52"/>
      <c r="J13" s="59">
        <f>D13*E13*H13</f>
        <v>1770000</v>
      </c>
      <c r="K13" s="60">
        <v>0.185276184301612</v>
      </c>
      <c r="L13" s="61">
        <f t="shared" si="0"/>
        <v>0.1759476234820104</v>
      </c>
    </row>
    <row r="14" spans="1:12" x14ac:dyDescent="0.3">
      <c r="A14" s="52" t="s">
        <v>36</v>
      </c>
      <c r="B14" s="53" t="s">
        <v>37</v>
      </c>
      <c r="C14" s="54" t="s">
        <v>38</v>
      </c>
      <c r="D14" s="55">
        <v>21</v>
      </c>
      <c r="E14" s="56">
        <v>1000</v>
      </c>
      <c r="F14" s="52" t="s">
        <v>5</v>
      </c>
      <c r="G14" s="52"/>
      <c r="H14" s="58">
        <v>28.64</v>
      </c>
      <c r="I14" s="52"/>
      <c r="J14" s="59">
        <f>D14*E14*H14</f>
        <v>601440</v>
      </c>
      <c r="K14" s="60">
        <v>6.0423213474608099E-2</v>
      </c>
      <c r="L14" s="61">
        <f t="shared" si="0"/>
        <v>5.978640602656516E-2</v>
      </c>
    </row>
    <row r="15" spans="1:12" ht="15" thickBot="1" x14ac:dyDescent="0.35">
      <c r="A15" s="63" t="s">
        <v>39</v>
      </c>
      <c r="B15" s="64" t="s">
        <v>40</v>
      </c>
      <c r="C15" s="64" t="s">
        <v>41</v>
      </c>
      <c r="D15" s="65">
        <v>7</v>
      </c>
      <c r="E15" s="66">
        <v>1000</v>
      </c>
      <c r="F15" s="63" t="s">
        <v>5</v>
      </c>
      <c r="G15" s="63"/>
      <c r="H15" s="67">
        <v>69.5</v>
      </c>
      <c r="I15" s="63"/>
      <c r="J15" s="68">
        <f>D15*E15*H15</f>
        <v>486500</v>
      </c>
      <c r="K15" s="69">
        <v>4.9679405712255299E-2</v>
      </c>
      <c r="L15" s="61">
        <f>J15/$B$6</f>
        <v>4.8360745098303987E-2</v>
      </c>
    </row>
    <row r="16" spans="1:12" ht="15" thickBot="1" x14ac:dyDescent="0.35">
      <c r="J16" s="18">
        <f>SUM(J10:J15)</f>
        <v>8925655.6700420864</v>
      </c>
      <c r="K16" s="19">
        <f>SUM(K10:K15)</f>
        <v>0.9032944707827909</v>
      </c>
      <c r="L16" s="20">
        <f>SUM(L10:L15)</f>
        <v>0.88725870235177196</v>
      </c>
    </row>
    <row r="17" spans="1:14" ht="15" thickBot="1" x14ac:dyDescent="0.35">
      <c r="J17" s="12"/>
      <c r="K17" s="12"/>
    </row>
    <row r="18" spans="1:14" s="2" customFormat="1" ht="29.4" thickBot="1" x14ac:dyDescent="0.35">
      <c r="A18" s="9" t="s">
        <v>1</v>
      </c>
      <c r="B18" s="10" t="s">
        <v>7</v>
      </c>
      <c r="C18" s="10" t="s">
        <v>0</v>
      </c>
      <c r="D18" s="7" t="s">
        <v>13</v>
      </c>
      <c r="E18" s="7" t="s">
        <v>8</v>
      </c>
      <c r="F18" s="7" t="s">
        <v>3</v>
      </c>
      <c r="G18" s="7" t="s">
        <v>2</v>
      </c>
      <c r="H18" s="7" t="s">
        <v>6</v>
      </c>
      <c r="I18" s="11"/>
      <c r="J18" s="8" t="s">
        <v>12</v>
      </c>
      <c r="K18" s="13" t="s">
        <v>10</v>
      </c>
      <c r="L18" s="13" t="s">
        <v>9</v>
      </c>
    </row>
    <row r="19" spans="1:14" x14ac:dyDescent="0.3">
      <c r="A19" s="37" t="s">
        <v>27</v>
      </c>
      <c r="B19" s="38" t="s">
        <v>28</v>
      </c>
      <c r="C19" s="39" t="s">
        <v>29</v>
      </c>
      <c r="D19" s="40">
        <v>5</v>
      </c>
      <c r="E19" s="41">
        <v>1000</v>
      </c>
      <c r="F19" s="37" t="s">
        <v>4</v>
      </c>
      <c r="G19" s="42">
        <v>1.1605505651881254</v>
      </c>
      <c r="H19" s="43">
        <v>85.44</v>
      </c>
      <c r="I19" s="37"/>
      <c r="J19" s="44">
        <f t="shared" ref="J19:J22" si="2">D19*E19*G19*H19</f>
        <v>495787.20144836715</v>
      </c>
      <c r="K19" s="45">
        <v>0.56100000000000005</v>
      </c>
      <c r="L19" s="46"/>
    </row>
    <row r="20" spans="1:14" x14ac:dyDescent="0.3">
      <c r="A20" s="3" t="s">
        <v>27</v>
      </c>
      <c r="B20" s="4" t="s">
        <v>28</v>
      </c>
      <c r="C20" s="5" t="s">
        <v>29</v>
      </c>
      <c r="D20" s="28">
        <v>51</v>
      </c>
      <c r="E20" s="27">
        <v>1000</v>
      </c>
      <c r="F20" s="3" t="s">
        <v>4</v>
      </c>
      <c r="G20" s="34">
        <v>1.1605505651881254</v>
      </c>
      <c r="H20" s="29">
        <v>85.44</v>
      </c>
      <c r="I20" s="3"/>
      <c r="J20" s="6">
        <f t="shared" si="2"/>
        <v>5057029.454773345</v>
      </c>
      <c r="K20" s="31"/>
      <c r="L20" s="14">
        <f>(J19+J20)/B6</f>
        <v>0.55198016626753321</v>
      </c>
      <c r="M20" s="47"/>
      <c r="N20" s="12"/>
    </row>
    <row r="21" spans="1:14" x14ac:dyDescent="0.3">
      <c r="A21" s="3" t="s">
        <v>42</v>
      </c>
      <c r="B21" s="4" t="s">
        <v>43</v>
      </c>
      <c r="C21" s="5" t="s">
        <v>44</v>
      </c>
      <c r="D21" s="28">
        <f>$B$6*K21/H21/G21/E21</f>
        <v>5.0304394001860171</v>
      </c>
      <c r="E21" s="27">
        <v>1000</v>
      </c>
      <c r="F21" s="3" t="s">
        <v>4</v>
      </c>
      <c r="G21" s="34">
        <v>1.1605505651881254</v>
      </c>
      <c r="H21" s="29">
        <v>87.88</v>
      </c>
      <c r="I21" s="3"/>
      <c r="J21" s="6">
        <f t="shared" si="2"/>
        <v>513050.40792000003</v>
      </c>
      <c r="K21" s="31">
        <v>5.0999999999999997E-2</v>
      </c>
      <c r="L21" s="14">
        <f>J21/$B$6</f>
        <v>5.1000000000000004E-2</v>
      </c>
    </row>
    <row r="22" spans="1:14" x14ac:dyDescent="0.3">
      <c r="A22" s="3" t="s">
        <v>45</v>
      </c>
      <c r="B22" s="4" t="s">
        <v>46</v>
      </c>
      <c r="C22" s="5" t="s">
        <v>47</v>
      </c>
      <c r="D22" s="28">
        <f>$B$6*K22/H22/G22/E22</f>
        <v>5.8604046453659517</v>
      </c>
      <c r="E22" s="27">
        <v>1000</v>
      </c>
      <c r="F22" s="3" t="s">
        <v>17</v>
      </c>
      <c r="G22" s="34">
        <v>1.3249947000211999</v>
      </c>
      <c r="H22" s="29">
        <v>60.89</v>
      </c>
      <c r="I22" s="3"/>
      <c r="J22" s="6">
        <f t="shared" si="2"/>
        <v>472811.16024</v>
      </c>
      <c r="K22" s="31">
        <v>4.7E-2</v>
      </c>
      <c r="L22" s="14">
        <f>J22/$B$6</f>
        <v>4.7E-2</v>
      </c>
    </row>
    <row r="23" spans="1:14" x14ac:dyDescent="0.3">
      <c r="A23" s="3"/>
      <c r="B23" s="4"/>
      <c r="C23" s="5"/>
      <c r="D23" s="28"/>
      <c r="E23" s="27"/>
      <c r="F23" s="3"/>
      <c r="G23" s="34"/>
      <c r="H23" s="29"/>
      <c r="I23" s="3"/>
      <c r="J23" s="6"/>
      <c r="K23" s="31"/>
      <c r="L23" s="14"/>
    </row>
    <row r="24" spans="1:14" x14ac:dyDescent="0.3">
      <c r="A24" s="37" t="s">
        <v>33</v>
      </c>
      <c r="B24" s="38" t="s">
        <v>34</v>
      </c>
      <c r="C24" s="39" t="s">
        <v>35</v>
      </c>
      <c r="D24" s="40">
        <v>15</v>
      </c>
      <c r="E24" s="41">
        <v>1000</v>
      </c>
      <c r="F24" s="37" t="s">
        <v>5</v>
      </c>
      <c r="G24" s="42"/>
      <c r="H24" s="43">
        <v>31.05</v>
      </c>
      <c r="I24" s="37"/>
      <c r="J24" s="6">
        <f t="shared" ref="J24:J26" si="3">D24*E24*H24</f>
        <v>465750</v>
      </c>
      <c r="K24" s="45">
        <v>0.23099999999999998</v>
      </c>
      <c r="L24" s="46">
        <f>J24/$B$6</f>
        <v>4.6298082280647648E-2</v>
      </c>
      <c r="M24" s="47"/>
      <c r="N24" s="47"/>
    </row>
    <row r="25" spans="1:14" x14ac:dyDescent="0.3">
      <c r="A25" s="3" t="s">
        <v>33</v>
      </c>
      <c r="B25" s="4" t="s">
        <v>34</v>
      </c>
      <c r="C25" s="5" t="s">
        <v>35</v>
      </c>
      <c r="D25" s="28">
        <v>58</v>
      </c>
      <c r="E25" s="27">
        <v>1000</v>
      </c>
      <c r="F25" s="3" t="s">
        <v>5</v>
      </c>
      <c r="G25" s="3"/>
      <c r="H25" s="29">
        <v>31.05</v>
      </c>
      <c r="I25" s="3"/>
      <c r="J25" s="6">
        <f t="shared" si="3"/>
        <v>1800900</v>
      </c>
      <c r="K25" s="31"/>
      <c r="L25" s="14">
        <f t="shared" ref="L25" si="4">J25/$B$6</f>
        <v>0.17901925148517092</v>
      </c>
      <c r="N25" s="12"/>
    </row>
    <row r="26" spans="1:14" x14ac:dyDescent="0.3">
      <c r="A26" s="3" t="s">
        <v>48</v>
      </c>
      <c r="B26" s="22" t="s">
        <v>49</v>
      </c>
      <c r="C26" s="5" t="s">
        <v>50</v>
      </c>
      <c r="D26" s="28">
        <v>21</v>
      </c>
      <c r="E26" s="27">
        <v>1000</v>
      </c>
      <c r="F26" s="3" t="s">
        <v>5</v>
      </c>
      <c r="G26" s="3"/>
      <c r="H26" s="29">
        <v>29.09</v>
      </c>
      <c r="I26" s="16"/>
      <c r="J26" s="6">
        <f t="shared" si="3"/>
        <v>610890</v>
      </c>
      <c r="K26" s="70">
        <v>0.06</v>
      </c>
      <c r="L26" s="14">
        <f>J26/$B$6</f>
        <v>6.0725787406172502E-2</v>
      </c>
      <c r="M26" s="12"/>
    </row>
    <row r="27" spans="1:14" ht="15" thickBot="1" x14ac:dyDescent="0.35">
      <c r="A27" s="23" t="s">
        <v>51</v>
      </c>
      <c r="B27" s="35" t="s">
        <v>52</v>
      </c>
      <c r="C27" s="35" t="s">
        <v>53</v>
      </c>
      <c r="D27" s="30">
        <v>7</v>
      </c>
      <c r="E27" s="48">
        <v>1000</v>
      </c>
      <c r="F27" s="23" t="s">
        <v>5</v>
      </c>
      <c r="G27" s="23"/>
      <c r="H27" s="49">
        <v>68</v>
      </c>
      <c r="I27" s="23"/>
      <c r="J27" s="50">
        <f>D27*E27*H27</f>
        <v>476000</v>
      </c>
      <c r="K27" s="51">
        <v>4.9679405712255299E-2</v>
      </c>
      <c r="L27" s="14">
        <f>J27/$B$6</f>
        <v>4.7316988009851381E-2</v>
      </c>
      <c r="M27" s="47"/>
      <c r="N27" s="12"/>
    </row>
    <row r="28" spans="1:14" ht="15" thickBot="1" x14ac:dyDescent="0.35">
      <c r="J28" s="18">
        <f>SUM(J19:J27)</f>
        <v>9892218.2243817113</v>
      </c>
      <c r="K28" s="19"/>
      <c r="L28" s="19">
        <f>J28/B6</f>
        <v>0.98334027544937552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2025-12-01T20:17:02Z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