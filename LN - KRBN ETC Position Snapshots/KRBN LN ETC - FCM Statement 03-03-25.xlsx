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42B831C-EA02-4489-A248-6FA2A4F83C77}" xr6:coauthVersionLast="47" xr6:coauthVersionMax="47" xr10:uidLastSave="{4F482EA4-662C-40B6-8EF7-C56E6364135A}"/>
  <bookViews>
    <workbookView xWindow="-110" yWindow="-110" windowWidth="19420" windowHeight="104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J40" i="1"/>
  <c r="K37" i="1"/>
  <c r="J31" i="1"/>
  <c r="J29" i="1"/>
  <c r="J28" i="1"/>
  <c r="K27" i="1"/>
  <c r="K42" i="1" s="1"/>
  <c r="J26" i="1"/>
  <c r="J41" i="1" s="1"/>
  <c r="K25" i="1"/>
  <c r="J25" i="1"/>
  <c r="L25" i="1" s="1"/>
  <c r="J24" i="1"/>
  <c r="J39" i="1" s="1"/>
  <c r="J23" i="1"/>
  <c r="J38" i="1" s="1"/>
  <c r="K22" i="1"/>
  <c r="K32" i="1" s="1"/>
  <c r="J22" i="1"/>
  <c r="J37" i="1" s="1"/>
  <c r="K17" i="1"/>
  <c r="L16" i="1"/>
  <c r="J16" i="1"/>
  <c r="J15" i="1"/>
  <c r="L15" i="1" s="1"/>
  <c r="J14" i="1"/>
  <c r="L14" i="1" s="1"/>
  <c r="J13" i="1"/>
  <c r="L13" i="1" s="1"/>
  <c r="J12" i="1"/>
  <c r="L12" i="1" s="1"/>
  <c r="J11" i="1"/>
  <c r="L11" i="1" s="1"/>
  <c r="L10" i="1"/>
  <c r="J10" i="1"/>
  <c r="J17" i="1" s="1"/>
  <c r="J7" i="1"/>
  <c r="K43" i="1" l="1"/>
  <c r="L17" i="1"/>
  <c r="L37" i="1"/>
  <c r="L40" i="1"/>
  <c r="J27" i="1"/>
  <c r="L22" i="1"/>
  <c r="J32" i="1"/>
  <c r="J42" i="1" l="1"/>
  <c r="J43" i="1" s="1"/>
  <c r="L27" i="1"/>
  <c r="L42" i="1" s="1"/>
  <c r="L43" i="1" s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<sst xmlns="http://schemas.openxmlformats.org/spreadsheetml/2006/main" count="103" uniqueCount="56">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</sst>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34</v>
      </c>
      <c r="J2" s="43"/>
      <c r="K2" s="44"/>
      <c r="L2" s="45"/>
    </row>
    <row r="3" spans="1:12" x14ac:dyDescent="0.35">
      <c r="A3" t="s">
        <v>15</v>
      </c>
      <c r="B3" s="56">
        <v>45719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>
        <v>0</v>
      </c>
    </row>
    <row r="6" spans="1:12" x14ac:dyDescent="0.35">
      <c r="A6" s="2" t="s">
        <v>19</v>
      </c>
      <c r="B6" s="37">
        <v>11284697.74</v>
      </c>
      <c r="J6" t="s">
        <v>25</v>
      </c>
    </row>
    <row r="7" spans="1:12" x14ac:dyDescent="0.35">
      <c r="J7" s="57">
        <f>(D28+D29)/B6</f>
        <v>0.97118973520685536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1.0485477613505296</v>
      </c>
      <c r="H10" s="49">
        <v>71.55</v>
      </c>
      <c r="I10" s="4"/>
      <c r="J10" s="9">
        <f>D10*E10*G10*H10</f>
        <v>6452028.9399182145</v>
      </c>
      <c r="K10" s="54">
        <v>0.57079502676856397</v>
      </c>
      <c r="L10" s="20">
        <f t="shared" ref="L10:L15" si="0">J10/$B$6</f>
        <v>0.57175026647352756</v>
      </c>
    </row>
    <row r="11" spans="1:12" x14ac:dyDescent="0.35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1.0485477613505296</v>
      </c>
      <c r="H11" s="49">
        <v>73.56</v>
      </c>
      <c r="I11" s="4"/>
      <c r="J11" s="9">
        <f t="shared" ref="J11:J12" si="1">D11*E11*G11*H11</f>
        <v>617049.38659955969</v>
      </c>
      <c r="K11" s="54">
        <v>5.1826253424447598E-2</v>
      </c>
      <c r="L11" s="20">
        <f t="shared" si="0"/>
        <v>5.4680187348957708E-2</v>
      </c>
    </row>
    <row r="12" spans="1:12" x14ac:dyDescent="0.35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1.2700509290422546</v>
      </c>
      <c r="H12" s="49">
        <v>41.51</v>
      </c>
      <c r="I12" s="4"/>
      <c r="J12" s="9">
        <f t="shared" si="1"/>
        <v>632637.76877452782</v>
      </c>
      <c r="K12" s="54">
        <v>5.5361911958262497E-2</v>
      </c>
      <c r="L12" s="20">
        <f t="shared" si="0"/>
        <v>5.6061560827816007E-2</v>
      </c>
    </row>
    <row r="13" spans="1:12" x14ac:dyDescent="0.35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32.21</v>
      </c>
      <c r="I13" s="4"/>
      <c r="J13" s="9">
        <f>D13*E13*H13</f>
        <v>2029230</v>
      </c>
      <c r="K13" s="54">
        <v>0.18277065891120001</v>
      </c>
      <c r="L13" s="20">
        <f t="shared" si="0"/>
        <v>0.17982138704585277</v>
      </c>
    </row>
    <row r="14" spans="1:12" x14ac:dyDescent="0.35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34.25</v>
      </c>
      <c r="I14" s="4"/>
      <c r="J14" s="9">
        <f>D14*E14*H14</f>
        <v>548000</v>
      </c>
      <c r="K14" s="54">
        <v>4.5869775873024002E-2</v>
      </c>
      <c r="L14" s="20">
        <f t="shared" ref="L14" si="2">J14/$B$6</f>
        <v>4.8561336123124195E-2</v>
      </c>
    </row>
    <row r="15" spans="1:12" x14ac:dyDescent="0.35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22.05</v>
      </c>
      <c r="I15" s="4"/>
      <c r="J15" s="9">
        <f>D15*E15*H15</f>
        <v>529200</v>
      </c>
      <c r="K15" s="54">
        <v>4.7889403350222598E-2</v>
      </c>
      <c r="L15" s="20">
        <f t="shared" si="0"/>
        <v>4.6895363278024314E-2</v>
      </c>
    </row>
    <row r="16" spans="1:12" ht="15" thickBot="1" x14ac:dyDescent="0.4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53</v>
      </c>
      <c r="I16" s="11"/>
      <c r="J16" s="13">
        <f>D16*E16*H16</f>
        <v>530000</v>
      </c>
      <c r="K16" s="55">
        <v>4.5486969714278402E-2</v>
      </c>
      <c r="L16" s="20">
        <f>J16/$B$6</f>
        <v>4.6966255739517924E-2</v>
      </c>
    </row>
    <row r="17" spans="1:13" ht="15" thickBot="1" x14ac:dyDescent="0.4">
      <c r="J17" s="33">
        <f>SUM(J10:J16)</f>
        <v>11338146.095292302</v>
      </c>
      <c r="K17" s="34">
        <f>SUM(K10:K16)</f>
        <v>0.99999999999999911</v>
      </c>
      <c r="L17" s="35">
        <f>SUM(L10:L16)</f>
        <v>1.0047363568368204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1.0481</v>
      </c>
      <c r="I22" s="22"/>
      <c r="J22" s="6">
        <f>D22*E22*H22</f>
        <v>6550625</v>
      </c>
      <c r="K22" s="26">
        <f>SUM(K10:K11)</f>
        <v>0.62262128019301155</v>
      </c>
      <c r="L22" s="24">
        <f>SUM(J22:J24)/$B$6</f>
        <v>0.64124181414313774</v>
      </c>
      <c r="M22" s="18"/>
    </row>
    <row r="23" spans="1:13" x14ac:dyDescent="0.35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1.0485477613505296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52</v>
      </c>
      <c r="B24" s="12"/>
      <c r="C24" s="12"/>
      <c r="D24" s="52">
        <v>653852</v>
      </c>
      <c r="E24" s="25">
        <v>1</v>
      </c>
      <c r="F24" s="11" t="s">
        <v>4</v>
      </c>
      <c r="G24" s="61">
        <v>1.0485477613505296</v>
      </c>
      <c r="H24" s="11"/>
      <c r="I24" s="11"/>
      <c r="J24" s="13">
        <f>D24*G24</f>
        <v>685595.05085456651</v>
      </c>
      <c r="K24" s="27"/>
      <c r="L24" s="28"/>
    </row>
    <row r="25" spans="1:13" x14ac:dyDescent="0.35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1.2700509290422546</v>
      </c>
      <c r="H25" s="7"/>
      <c r="I25" s="7"/>
      <c r="J25" s="9">
        <f>D25*G25</f>
        <v>0</v>
      </c>
      <c r="K25" s="69">
        <f>K12</f>
        <v>5.5361911958262497E-2</v>
      </c>
      <c r="L25" s="69">
        <f>(SUM(J25:J26))/B6</f>
        <v>4.8299017718894215E-2</v>
      </c>
    </row>
    <row r="26" spans="1:13" ht="15" thickBot="1" x14ac:dyDescent="0.4">
      <c r="A26" s="64" t="s">
        <v>54</v>
      </c>
      <c r="B26" s="11"/>
      <c r="C26" s="11"/>
      <c r="D26" s="52">
        <v>429148</v>
      </c>
      <c r="E26" s="25">
        <v>1</v>
      </c>
      <c r="F26" s="11" t="s">
        <v>22</v>
      </c>
      <c r="G26" s="61">
        <v>1.2700509290422546</v>
      </c>
      <c r="H26" s="11"/>
      <c r="I26" s="11"/>
      <c r="J26" s="13">
        <f>D26*G26</f>
        <v>545039.81609662552</v>
      </c>
      <c r="K26" s="27"/>
      <c r="L26" s="27"/>
    </row>
    <row r="27" spans="1:13" x14ac:dyDescent="0.35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-6550625</v>
      </c>
      <c r="K27" s="65">
        <f>SUM(K13:K16)</f>
        <v>0.32201680784872505</v>
      </c>
      <c r="L27" s="20">
        <f>SUM(J27:J31)/$B$6</f>
        <v>0.33525488942770804</v>
      </c>
    </row>
    <row r="28" spans="1:13" x14ac:dyDescent="0.35">
      <c r="A28" s="5" t="s">
        <v>13</v>
      </c>
      <c r="B28" s="5"/>
      <c r="C28" s="5"/>
      <c r="D28" s="49">
        <v>1786687.52</v>
      </c>
      <c r="E28" s="23">
        <v>1</v>
      </c>
      <c r="F28" s="7" t="s">
        <v>5</v>
      </c>
      <c r="G28" s="7"/>
      <c r="H28" s="4"/>
      <c r="I28" s="4"/>
      <c r="J28" s="6">
        <f>D28</f>
        <v>1786687.52</v>
      </c>
      <c r="K28" s="4"/>
      <c r="L28" s="4"/>
    </row>
    <row r="29" spans="1:13" x14ac:dyDescent="0.35">
      <c r="A29" s="5" t="s">
        <v>14</v>
      </c>
      <c r="B29" s="5"/>
      <c r="C29" s="5"/>
      <c r="D29" s="49">
        <v>9172895.0899999999</v>
      </c>
      <c r="E29" s="23">
        <v>1</v>
      </c>
      <c r="F29" s="7" t="s">
        <v>5</v>
      </c>
      <c r="G29" s="7"/>
      <c r="H29" s="4"/>
      <c r="I29" s="4"/>
      <c r="J29" s="6">
        <f>D29-J26-J24</f>
        <v>7942260.2230488071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604927.35</v>
      </c>
      <c r="E31" s="25">
        <v>1</v>
      </c>
      <c r="F31" s="11" t="s">
        <v>5</v>
      </c>
      <c r="G31" s="11"/>
      <c r="H31" s="11"/>
      <c r="I31" s="11"/>
      <c r="J31" s="13">
        <f>D31</f>
        <v>604927.35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11564509.959999999</v>
      </c>
      <c r="K32" s="42">
        <f>SUM(K22:K31)</f>
        <v>0.99999999999999911</v>
      </c>
      <c r="L32" s="42">
        <f>SUM(L22:L31)</f>
        <v>1.0247957212897401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1.0481</v>
      </c>
      <c r="I37" s="22"/>
      <c r="J37" s="6">
        <f>J22</f>
        <v>6550625</v>
      </c>
      <c r="K37" s="26">
        <f>SUM(K10:K11)</f>
        <v>0.62262128019301155</v>
      </c>
      <c r="L37" s="24">
        <f>SUM(J37:J39)/$B$6</f>
        <v>0.64124181414313774</v>
      </c>
    </row>
    <row r="38" spans="1:12" x14ac:dyDescent="0.35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52</v>
      </c>
      <c r="B39" s="11"/>
      <c r="C39" s="11"/>
      <c r="D39" s="29">
        <v>653852</v>
      </c>
      <c r="E39" s="25"/>
      <c r="F39" s="11" t="s">
        <v>4</v>
      </c>
      <c r="G39" s="11"/>
      <c r="H39" s="11"/>
      <c r="I39" s="11"/>
      <c r="J39" s="29">
        <f>J24</f>
        <v>685595.05085456651</v>
      </c>
      <c r="K39" s="27"/>
      <c r="L39" s="28"/>
    </row>
    <row r="40" spans="1:12" x14ac:dyDescent="0.35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5.5361911958262497E-2</v>
      </c>
      <c r="L40" s="69">
        <f>(SUM(J40:J41))/$B$6</f>
        <v>4.8299017718894215E-2</v>
      </c>
    </row>
    <row r="41" spans="1:12" ht="15" thickBot="1" x14ac:dyDescent="0.4">
      <c r="A41" s="11" t="s">
        <v>54</v>
      </c>
      <c r="B41" s="11"/>
      <c r="C41" s="11"/>
      <c r="D41" s="29">
        <v>429148</v>
      </c>
      <c r="E41" s="25"/>
      <c r="F41" s="11" t="s">
        <v>22</v>
      </c>
      <c r="G41" s="11"/>
      <c r="H41" s="11"/>
      <c r="I41" s="11"/>
      <c r="J41" s="29">
        <f>J26</f>
        <v>545039.81609662552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3783250.0930488068</v>
      </c>
      <c r="K42" s="71">
        <f>K27</f>
        <v>0.32201680784872505</v>
      </c>
      <c r="L42" s="71">
        <f>L27</f>
        <v>0.33525488942770804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11564509.959999999</v>
      </c>
      <c r="K43" s="42">
        <f>SUM(K37:K42)</f>
        <v>0.99999999999999911</v>
      </c>
      <c r="L43" s="42">
        <f>SUM(L37:L42)</f>
        <v>1.0247957212897401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2025-03-05T15:06:15Z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