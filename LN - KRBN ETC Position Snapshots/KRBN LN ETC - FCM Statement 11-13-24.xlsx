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89720C0-9CEF-4CB2-9252-B17C22989A20}" xr6:coauthVersionLast="47" xr6:coauthVersionMax="47" xr10:uidLastSave="{AB41FC35-0A16-4DC0-972C-5F12782331F1}"/>
  <bookViews>
    <workbookView xWindow="30330" yWindow="4365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<sst xmlns="http://schemas.openxmlformats.org/spreadsheetml/2006/main" count="91" uniqueCount="51">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</sst>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11995092.93</v>
      </c>
      <c r="J6" t="s">
        <v>27</v>
      </c>
    </row>
    <row r="7" spans="1:12" x14ac:dyDescent="0.3">
      <c r="J7" s="63">
        <f>(D25+D26)/B6</f>
        <v>0.94853173680247593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1.058951849459405</v>
      </c>
      <c r="H10" s="54">
        <v>66.31</v>
      </c>
      <c r="I10" s="5"/>
      <c r="J10" s="10">
        <f>D10*E10*G10*H10</f>
        <v>6249499.6452511298</v>
      </c>
      <c r="K10" s="60">
        <v>0.53589656804666397</v>
      </c>
      <c r="L10" s="21">
        <f t="shared" ref="L10:L14" si="0">J10/$B$6</f>
        <v>0.52100468764364383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1.058951849459405</v>
      </c>
      <c r="H11" s="54">
        <v>68.33</v>
      </c>
      <c r="I11" s="5"/>
      <c r="J11" s="10">
        <f t="shared" ref="J11:J12" si="1">D11*E11*G11*H11</f>
        <v>578865.4389884891</v>
      </c>
      <c r="K11" s="60">
        <v>4.8167361419850903E-2</v>
      </c>
      <c r="L11" s="21">
        <f t="shared" si="0"/>
        <v>4.8258520577254847E-2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1.2723941368078178</v>
      </c>
      <c r="H12" s="54">
        <v>37.57</v>
      </c>
      <c r="I12" s="5"/>
      <c r="J12" s="10">
        <f t="shared" si="1"/>
        <v>478038.47719869716</v>
      </c>
      <c r="K12" s="60">
        <v>4.3108653227301903E-2</v>
      </c>
      <c r="L12" s="21">
        <f t="shared" si="0"/>
        <v>3.98528364880869E-2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36.659999999999997</v>
      </c>
      <c r="I13" s="5"/>
      <c r="J13" s="10">
        <f>D13*E13*H13</f>
        <v>2969459.9999999995</v>
      </c>
      <c r="K13" s="60">
        <v>0.26244752457418502</v>
      </c>
      <c r="L13" s="21">
        <f t="shared" si="0"/>
        <v>0.24755623131299906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38.78</v>
      </c>
      <c r="I14" s="5"/>
      <c r="J14" s="10">
        <f>D14*E14*H14</f>
        <v>581700</v>
      </c>
      <c r="K14" s="60">
        <v>5.1928041726016401E-2</v>
      </c>
      <c r="L14" s="21">
        <f t="shared" si="0"/>
        <v>4.8494830627377222E-2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22.8</v>
      </c>
      <c r="I15" s="12"/>
      <c r="J15" s="14">
        <f>D15*E15*H15</f>
        <v>684000</v>
      </c>
      <c r="K15" s="61">
        <v>5.8451851005981402E-2</v>
      </c>
      <c r="L15" s="21">
        <f>J15/$B$6</f>
        <v>5.7023318117803028E-2</v>
      </c>
    </row>
    <row r="16" spans="1:12" ht="15" thickBot="1" x14ac:dyDescent="0.35">
      <c r="J16" s="35">
        <f>SUM(J10:J15)</f>
        <v>11541563.561438316</v>
      </c>
      <c r="K16" s="36">
        <f>SUM(K10:K15)</f>
        <v>0.99999999999999967</v>
      </c>
      <c r="L16" s="37">
        <f>SUM(L10:L15)</f>
        <v>0.96219042476716499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1.0627</v>
      </c>
      <c r="I21" s="23"/>
      <c r="J21" s="7">
        <f>D21*E21*H21</f>
        <v>6907550</v>
      </c>
      <c r="K21" s="27">
        <f>SUM(K10:K11)</f>
        <v>0.58406392946651486</v>
      </c>
      <c r="L21" s="25">
        <f>SUM(J21:J22)/$B$6</f>
        <v>0.57586465067928405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1.058951849459405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1.2723941368078178</v>
      </c>
      <c r="H23" s="41"/>
      <c r="I23" s="41"/>
      <c r="J23" s="43">
        <f>D23*G23</f>
        <v>0</v>
      </c>
      <c r="K23" s="44">
        <f>K12</f>
        <v>4.3108653227301903E-2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-6907550</v>
      </c>
      <c r="K24" s="29">
        <f>SUM(K13:K15)</f>
        <v>0.3728274173061828</v>
      </c>
      <c r="L24" s="25">
        <f>SUM(J24:J28)/$B$6</f>
        <v>0.42439989249837357</v>
      </c>
    </row>
    <row r="25" spans="1:13" x14ac:dyDescent="0.3">
      <c r="A25" s="6" t="s">
        <v>13</v>
      </c>
      <c r="B25" s="6"/>
      <c r="C25" s="6"/>
      <c r="D25" s="54">
        <v>1986920.25</v>
      </c>
      <c r="E25" s="24">
        <v>1</v>
      </c>
      <c r="F25" s="8" t="s">
        <v>5</v>
      </c>
      <c r="G25" s="8"/>
      <c r="H25" s="5"/>
      <c r="I25" s="5"/>
      <c r="J25" s="7">
        <f>D25</f>
        <v>1986920.25</v>
      </c>
      <c r="K25" s="5"/>
      <c r="L25" s="5"/>
    </row>
    <row r="26" spans="1:13" x14ac:dyDescent="0.3">
      <c r="A26" s="6" t="s">
        <v>14</v>
      </c>
      <c r="B26" s="6"/>
      <c r="C26" s="6"/>
      <c r="D26" s="54">
        <v>9390806.0800000001</v>
      </c>
      <c r="E26" s="24">
        <v>1</v>
      </c>
      <c r="F26" s="8" t="s">
        <v>5</v>
      </c>
      <c r="G26" s="8"/>
      <c r="H26" s="5"/>
      <c r="I26" s="5"/>
      <c r="J26" s="7">
        <f>D26</f>
        <v>9390806.0800000001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11998266.15</v>
      </c>
      <c r="K29" s="46">
        <f>SUM(K21:K28)</f>
        <v>0.99999999999999956</v>
      </c>
      <c r="L29" s="46">
        <f>SUM(L21:L28)</f>
        <v>1.0002645431776576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1.0627</v>
      </c>
      <c r="I34" s="23"/>
      <c r="J34" s="7">
        <f>J21</f>
        <v>6907550</v>
      </c>
      <c r="K34" s="27">
        <f>SUM(K10:K11)</f>
        <v>0.58406392946651486</v>
      </c>
      <c r="L34" s="25">
        <f>SUM(J34:J35)/$B$6</f>
        <v>0.57586465067928405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4.3108653227301903E-2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5090716.1500000004</v>
      </c>
      <c r="K37" s="67">
        <f>K24</f>
        <v>0.3728274173061828</v>
      </c>
      <c r="L37" s="67">
        <f>L24</f>
        <v>0.42439989249837357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11998266.15</v>
      </c>
      <c r="K38" s="46">
        <f>SUM(K34:K37)</f>
        <v>0.99999999999999956</v>
      </c>
      <c r="L38" s="46">
        <f>SUM(L34:L37)</f>
        <v>1.0002645431776576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2024-11-14T13:22:30Z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