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6171E973-770A-4E9C-8C5C-8B934929A583}" xr6:coauthVersionLast="47" xr6:coauthVersionMax="47" xr10:uidLastSave="{674C33C7-6523-4F55-AFE9-92685E6A25BC}"/>
  <bookViews>
    <workbookView xWindow="30300" yWindow="4305" windowWidth="22155" windowHeight="975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8" i="1" l="1"/>
  <c r="K36" i="1"/>
  <c r="K34" i="1"/>
  <c r="J26" i="1"/>
  <c r="J25" i="1"/>
  <c r="K24" i="1"/>
  <c r="K37" i="1" s="1"/>
  <c r="K23" i="1"/>
  <c r="J23" i="1"/>
  <c r="J36" i="1" s="1"/>
  <c r="L36" i="1" s="1"/>
  <c r="J22" i="1"/>
  <c r="J35" i="1" s="1"/>
  <c r="K21" i="1"/>
  <c r="J21" i="1"/>
  <c r="J24" i="1" s="1"/>
  <c r="K16" i="1"/>
  <c r="J15" i="1"/>
  <c r="L15" i="1" s="1"/>
  <c r="J14" i="1"/>
  <c r="L14" i="1" s="1"/>
  <c r="J13" i="1"/>
  <c r="L13" i="1" s="1"/>
  <c r="J12" i="1"/>
  <c r="L12" i="1" s="1"/>
  <c r="J11" i="1"/>
  <c r="L11" i="1" s="1"/>
  <c r="J10" i="1"/>
  <c r="L10" i="1" s="1"/>
  <c r="J7" i="1"/>
  <c r="L24" i="1" l="1"/>
  <c r="L37" i="1" s="1"/>
  <c r="K38" i="1"/>
  <c r="K29" i="1"/>
  <c r="L23" i="1"/>
  <c r="J29" i="1"/>
  <c r="J34" i="1"/>
  <c r="L34" i="1" s="1"/>
  <c r="L16" i="1"/>
  <c r="J37" i="1"/>
  <c r="L21" i="1"/>
  <c r="J16" i="1"/>
  <c r="L38" i="1" l="1"/>
  <c r="J38" i="1"/>
  <c r="L29" i="1"/>
</calcChain>
</file>

<file path=xl/sharedStrings.xml><?xml version="1.0" encoding="utf-8"?>
<sst xmlns="http://schemas.openxmlformats.org/spreadsheetml/2006/main" count="91" uniqueCount="51">
  <si>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</si>
  <si>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</si>
  <si>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</si>
  <si>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</si>
  <si>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</si>
  <si>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</si>
  <si>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</si>
  <si>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</si>
  <si>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</si>
  <si>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</si>
  <si>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</si>
  <si>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</si>
  <si>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</si>
  <si>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</si>
  <si>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</si>
  <si>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</si>
  <si>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</si>
  <si>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</si>
  <si>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</si>
  <si>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</si>
  <si>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</si>
  <si>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</si>
  <si>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</si>
  <si>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EUR Cash</t>
  </si>
  <si>
    <t>GBP Cash</t>
  </si>
  <si>
    <t>USD Cash</t>
  </si>
  <si>
    <t>USD Cash / Margin</t>
  </si>
  <si>
    <t>CFC % of Fund AUM:</t>
  </si>
  <si>
    <t>EUA 24</t>
  </si>
  <si>
    <t>MOZ24 Comdty</t>
  </si>
  <si>
    <t>ICE ECX Emission  Dec24</t>
  </si>
  <si>
    <t>CCA 24</t>
  </si>
  <si>
    <t>CDBZ24 Comdty</t>
  </si>
  <si>
    <t>CA Carbon Allow V24 Dec24</t>
  </si>
  <si>
    <t>Futures</t>
  </si>
  <si>
    <t>EUA 25</t>
  </si>
  <si>
    <t>MOZ25 Comdty</t>
  </si>
  <si>
    <t>ICE ECX Emission  Dec25</t>
  </si>
  <si>
    <t>UKA 24</t>
  </si>
  <si>
    <t>UKEZ4 Comdty</t>
  </si>
  <si>
    <t>UK Emission Allow Dec24</t>
  </si>
  <si>
    <t>CCA 25</t>
  </si>
  <si>
    <t>BCYZ25 Comdty</t>
  </si>
  <si>
    <t>CA Carbon Allow V25 Dec25</t>
  </si>
  <si>
    <t>RGGI 24</t>
  </si>
  <si>
    <t>RJOZ24 Comdty</t>
  </si>
  <si>
    <t>RGGI V24 Dec24</t>
  </si>
  <si>
    <t>ECZ4 Curncy</t>
  </si>
  <si>
    <t>EURO FX CURR FUT  Dec24</t>
  </si>
  <si>
    <t>KRBN LN ETC FCM Statement</t>
  </si>
  <si>
    <t>TTS23073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</si>
</sst>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quotePrefix="1"/>
    <xf numFmtId="44" fontId="0" fillId="0" borderId="0" xfId="2" applyFont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1" xfId="0" applyNumberForma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0" fillId="0" borderId="11" xfId="1" applyFont="1" applyBorder="1"/>
    <xf numFmtId="166" fontId="0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164" fontId="2" fillId="0" borderId="7" xfId="1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43" fontId="2" fillId="0" borderId="11" xfId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6" fontId="0" fillId="0" borderId="7" xfId="0" applyNumberFormat="1" applyBorder="1"/>
    <xf numFmtId="167" fontId="0" fillId="0" borderId="7" xfId="0" applyNumberFormat="1" applyBorder="1"/>
    <xf numFmtId="167" fontId="0" fillId="0" borderId="5" xfId="0" applyNumberFormat="1" applyBorder="1"/>
    <xf numFmtId="168" fontId="2" fillId="0" borderId="3" xfId="0" applyNumberFormat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38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4" t="s">
        <v>49</v>
      </c>
      <c r="B1" s="22"/>
      <c r="C1" s="22"/>
      <c r="D1" s="22"/>
      <c r="E1" s="22"/>
      <c r="J1" s="48"/>
      <c r="K1" s="49"/>
      <c r="L1" s="50"/>
    </row>
    <row r="2" spans="1:12" ht="23.1" customHeight="1" x14ac:dyDescent="0.3">
      <c r="A2" t="s">
        <v>50</v>
      </c>
      <c r="J2" s="48"/>
      <c r="K2" s="49"/>
      <c r="L2" s="50"/>
    </row>
    <row r="3" spans="1:12" x14ac:dyDescent="0.3">
      <c r="A3" t="s">
        <v>15</v>
      </c>
      <c r="B3" s="62">
        <v>45586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 s="2">
        <v>0</v>
      </c>
    </row>
    <row r="6" spans="1:12" x14ac:dyDescent="0.3">
      <c r="A6" s="3" t="s">
        <v>19</v>
      </c>
      <c r="B6" s="39">
        <v>11835287.040000001</v>
      </c>
      <c r="J6" t="s">
        <v>27</v>
      </c>
    </row>
    <row r="7" spans="1:12" x14ac:dyDescent="0.3">
      <c r="J7" s="63">
        <f>(D25+D26)/B6</f>
        <v>0.94758325861440185</v>
      </c>
      <c r="K7" s="19"/>
    </row>
    <row r="8" spans="1:12" ht="15" thickBot="1" x14ac:dyDescent="0.35">
      <c r="A8" s="3" t="s">
        <v>34</v>
      </c>
    </row>
    <row r="9" spans="1:12" s="4" customFormat="1" ht="29.4" thickBot="1" x14ac:dyDescent="0.35">
      <c r="A9" s="16" t="s">
        <v>1</v>
      </c>
      <c r="B9" s="17" t="s">
        <v>7</v>
      </c>
      <c r="C9" s="17" t="s">
        <v>0</v>
      </c>
      <c r="D9" s="11" t="s">
        <v>18</v>
      </c>
      <c r="E9" s="11" t="s">
        <v>9</v>
      </c>
      <c r="F9" s="11" t="s">
        <v>3</v>
      </c>
      <c r="G9" s="11" t="s">
        <v>2</v>
      </c>
      <c r="H9" s="11" t="s">
        <v>6</v>
      </c>
      <c r="I9" s="18"/>
      <c r="J9" s="15" t="s">
        <v>17</v>
      </c>
      <c r="K9" s="20" t="s">
        <v>11</v>
      </c>
      <c r="L9" s="20" t="s">
        <v>10</v>
      </c>
    </row>
    <row r="10" spans="1:12" x14ac:dyDescent="0.3">
      <c r="A10" s="5" t="s">
        <v>28</v>
      </c>
      <c r="B10" s="6" t="s">
        <v>29</v>
      </c>
      <c r="C10" s="9" t="s">
        <v>30</v>
      </c>
      <c r="D10" s="53">
        <v>89</v>
      </c>
      <c r="E10" s="51">
        <v>1000</v>
      </c>
      <c r="F10" s="5" t="s">
        <v>4</v>
      </c>
      <c r="G10" s="70">
        <v>1.0835057913384547</v>
      </c>
      <c r="H10" s="54">
        <v>61.76</v>
      </c>
      <c r="I10" s="5"/>
      <c r="J10" s="10">
        <f>D10*E10*G10*H10</f>
        <v>5955641.2729026042</v>
      </c>
      <c r="K10" s="60">
        <v>0.51736789175220699</v>
      </c>
      <c r="L10" s="21">
        <f t="shared" ref="L10:L14" si="0">J10/$B$6</f>
        <v>0.50321054764233275</v>
      </c>
    </row>
    <row r="11" spans="1:12" x14ac:dyDescent="0.3">
      <c r="A11" s="5" t="s">
        <v>35</v>
      </c>
      <c r="B11" s="6" t="s">
        <v>36</v>
      </c>
      <c r="C11" s="9" t="s">
        <v>37</v>
      </c>
      <c r="D11" s="53">
        <v>8</v>
      </c>
      <c r="E11" s="51">
        <v>1000</v>
      </c>
      <c r="F11" s="5" t="s">
        <v>4</v>
      </c>
      <c r="G11" s="70">
        <v>1.0835057913384547</v>
      </c>
      <c r="H11" s="54">
        <v>63.7</v>
      </c>
      <c r="I11" s="5"/>
      <c r="J11" s="10">
        <f t="shared" ref="J11:J12" si="1">D11*E11*G11*H11</f>
        <v>552154.55126607651</v>
      </c>
      <c r="K11" s="60">
        <v>4.6544793253481001E-2</v>
      </c>
      <c r="L11" s="21">
        <f t="shared" si="0"/>
        <v>4.6653245451499965E-2</v>
      </c>
    </row>
    <row r="12" spans="1:12" x14ac:dyDescent="0.3">
      <c r="A12" s="5" t="s">
        <v>38</v>
      </c>
      <c r="B12" s="6" t="s">
        <v>39</v>
      </c>
      <c r="C12" s="9" t="s">
        <v>40</v>
      </c>
      <c r="D12" s="53">
        <v>10</v>
      </c>
      <c r="E12" s="51">
        <v>1000</v>
      </c>
      <c r="F12" s="5" t="s">
        <v>22</v>
      </c>
      <c r="G12" s="70">
        <v>1.3001027081139409</v>
      </c>
      <c r="H12" s="54">
        <v>39.869999999999997</v>
      </c>
      <c r="I12" s="5"/>
      <c r="J12" s="10">
        <f t="shared" si="1"/>
        <v>518350.94972502824</v>
      </c>
      <c r="K12" s="60">
        <v>4.7354294418635097E-2</v>
      </c>
      <c r="L12" s="21">
        <f t="shared" si="0"/>
        <v>4.3797074627184386E-2</v>
      </c>
    </row>
    <row r="13" spans="1:12" x14ac:dyDescent="0.3">
      <c r="A13" s="5" t="s">
        <v>31</v>
      </c>
      <c r="B13" s="6" t="s">
        <v>32</v>
      </c>
      <c r="C13" s="9" t="s">
        <v>33</v>
      </c>
      <c r="D13" s="53">
        <v>81</v>
      </c>
      <c r="E13" s="51">
        <v>1000</v>
      </c>
      <c r="F13" s="5" t="s">
        <v>5</v>
      </c>
      <c r="G13" s="52"/>
      <c r="H13" s="54">
        <v>38.51</v>
      </c>
      <c r="I13" s="5"/>
      <c r="J13" s="10">
        <f>D13*E13*H13</f>
        <v>3119310</v>
      </c>
      <c r="K13" s="60">
        <v>0.27929316993416098</v>
      </c>
      <c r="L13" s="21">
        <f t="shared" si="0"/>
        <v>0.26356014767175429</v>
      </c>
    </row>
    <row r="14" spans="1:12" x14ac:dyDescent="0.3">
      <c r="A14" s="5" t="s">
        <v>41</v>
      </c>
      <c r="B14" s="6" t="s">
        <v>42</v>
      </c>
      <c r="C14" s="9" t="s">
        <v>43</v>
      </c>
      <c r="D14" s="53">
        <v>15</v>
      </c>
      <c r="E14" s="51">
        <v>1000</v>
      </c>
      <c r="F14" s="5" t="s">
        <v>5</v>
      </c>
      <c r="G14" s="5"/>
      <c r="H14" s="54">
        <v>40.700000000000003</v>
      </c>
      <c r="I14" s="5"/>
      <c r="J14" s="10">
        <f>D14*E14*H14</f>
        <v>610500</v>
      </c>
      <c r="K14" s="60">
        <v>5.5210963475370203E-2</v>
      </c>
      <c r="L14" s="21">
        <f t="shared" si="0"/>
        <v>5.1583032835340506E-2</v>
      </c>
    </row>
    <row r="15" spans="1:12" ht="15" thickBot="1" x14ac:dyDescent="0.35">
      <c r="A15" s="12" t="s">
        <v>44</v>
      </c>
      <c r="B15" s="13" t="s">
        <v>45</v>
      </c>
      <c r="C15" s="13" t="s">
        <v>46</v>
      </c>
      <c r="D15" s="55">
        <v>30</v>
      </c>
      <c r="E15" s="56">
        <v>1000</v>
      </c>
      <c r="F15" s="12" t="s">
        <v>5</v>
      </c>
      <c r="G15" s="12"/>
      <c r="H15" s="57">
        <v>20.88</v>
      </c>
      <c r="I15" s="12"/>
      <c r="J15" s="14">
        <f>D15*E15*H15</f>
        <v>626400</v>
      </c>
      <c r="K15" s="61">
        <v>5.4228887166144699E-2</v>
      </c>
      <c r="L15" s="21">
        <f>J15/$B$6</f>
        <v>5.292647300255085E-2</v>
      </c>
    </row>
    <row r="16" spans="1:12" ht="15" thickBot="1" x14ac:dyDescent="0.35">
      <c r="J16" s="35">
        <f>SUM(J10:J15)</f>
        <v>11382356.773893708</v>
      </c>
      <c r="K16" s="36">
        <f>SUM(K10:K15)</f>
        <v>0.99999999999999911</v>
      </c>
      <c r="L16" s="37">
        <f>SUM(L10:L15)</f>
        <v>0.96173052123066272</v>
      </c>
    </row>
    <row r="17" spans="1:13" x14ac:dyDescent="0.3">
      <c r="J17" s="19"/>
      <c r="K17" s="19"/>
    </row>
    <row r="18" spans="1:13" x14ac:dyDescent="0.3">
      <c r="J18" s="19"/>
      <c r="K18" s="19"/>
      <c r="L18" s="19"/>
    </row>
    <row r="19" spans="1:13" ht="15" thickBot="1" x14ac:dyDescent="0.35">
      <c r="A19" s="3" t="s">
        <v>12</v>
      </c>
    </row>
    <row r="20" spans="1:13" ht="29.4" thickBot="1" x14ac:dyDescent="0.35">
      <c r="A20" s="16"/>
      <c r="B20" s="17" t="s">
        <v>7</v>
      </c>
      <c r="C20" s="17" t="s">
        <v>0</v>
      </c>
      <c r="D20" s="11" t="s">
        <v>18</v>
      </c>
      <c r="E20" s="11" t="s">
        <v>9</v>
      </c>
      <c r="F20" s="11" t="s">
        <v>3</v>
      </c>
      <c r="G20" s="11"/>
      <c r="H20" s="11" t="s">
        <v>6</v>
      </c>
      <c r="I20" s="18"/>
      <c r="J20" s="15" t="s">
        <v>17</v>
      </c>
      <c r="K20" s="20" t="s">
        <v>11</v>
      </c>
      <c r="L20" s="20" t="s">
        <v>10</v>
      </c>
    </row>
    <row r="21" spans="1:13" x14ac:dyDescent="0.3">
      <c r="A21" s="5" t="s">
        <v>8</v>
      </c>
      <c r="B21" s="6" t="s">
        <v>47</v>
      </c>
      <c r="C21" s="6" t="s">
        <v>48</v>
      </c>
      <c r="D21" s="53"/>
      <c r="E21" s="51">
        <v>125000</v>
      </c>
      <c r="F21" s="5" t="s">
        <v>5</v>
      </c>
      <c r="G21" s="23"/>
      <c r="H21" s="58"/>
      <c r="I21" s="23"/>
      <c r="J21" s="7">
        <f>D21*E21*H21</f>
        <v>0</v>
      </c>
      <c r="K21" s="27">
        <f>SUM(K10:K11)</f>
        <v>0.56391268500568803</v>
      </c>
      <c r="L21" s="25">
        <f>SUM(J21:J22)/$B$6</f>
        <v>0</v>
      </c>
      <c r="M21" s="19"/>
    </row>
    <row r="22" spans="1:13" ht="15" thickBot="1" x14ac:dyDescent="0.35">
      <c r="A22" s="12" t="s">
        <v>23</v>
      </c>
      <c r="B22" s="13"/>
      <c r="C22" s="13"/>
      <c r="D22" s="59"/>
      <c r="E22" s="42">
        <v>1</v>
      </c>
      <c r="F22" s="12" t="s">
        <v>4</v>
      </c>
      <c r="G22" s="68">
        <v>1.0835057913384547</v>
      </c>
      <c r="H22" s="12"/>
      <c r="I22" s="12"/>
      <c r="J22" s="14">
        <f>D22*G22</f>
        <v>0</v>
      </c>
      <c r="K22" s="28"/>
      <c r="L22" s="30"/>
    </row>
    <row r="23" spans="1:13" ht="15" thickBot="1" x14ac:dyDescent="0.35">
      <c r="A23" s="41" t="s">
        <v>24</v>
      </c>
      <c r="B23" s="41"/>
      <c r="C23" s="41"/>
      <c r="D23" s="59"/>
      <c r="E23" s="42">
        <v>1</v>
      </c>
      <c r="F23" s="41" t="s">
        <v>22</v>
      </c>
      <c r="G23" s="69">
        <v>1.3001027081139409</v>
      </c>
      <c r="H23" s="41"/>
      <c r="I23" s="41"/>
      <c r="J23" s="43">
        <f>D23*G23</f>
        <v>0</v>
      </c>
      <c r="K23" s="44">
        <f>K12</f>
        <v>4.7354294418635097E-2</v>
      </c>
      <c r="L23" s="44">
        <f>J23/B6</f>
        <v>0</v>
      </c>
    </row>
    <row r="24" spans="1:13" x14ac:dyDescent="0.3">
      <c r="A24" s="5" t="s">
        <v>8</v>
      </c>
      <c r="B24" s="6" t="s">
        <v>47</v>
      </c>
      <c r="C24" s="6" t="s">
        <v>48</v>
      </c>
      <c r="D24" s="51">
        <v>0</v>
      </c>
      <c r="E24" s="24">
        <v>-125000</v>
      </c>
      <c r="F24" s="5" t="s">
        <v>5</v>
      </c>
      <c r="G24" s="8"/>
      <c r="H24" s="8"/>
      <c r="I24" s="8"/>
      <c r="J24" s="7">
        <f>-J21</f>
        <v>0</v>
      </c>
      <c r="K24" s="29">
        <f>SUM(K13:K15)</f>
        <v>0.38873302057567588</v>
      </c>
      <c r="L24" s="25">
        <f>SUM(J24:J28)/$B$6</f>
        <v>1.0003914412877644</v>
      </c>
    </row>
    <row r="25" spans="1:13" x14ac:dyDescent="0.3">
      <c r="A25" s="6" t="s">
        <v>13</v>
      </c>
      <c r="B25" s="6"/>
      <c r="C25" s="6"/>
      <c r="D25" s="54">
        <v>2015821.25</v>
      </c>
      <c r="E25" s="24">
        <v>1</v>
      </c>
      <c r="F25" s="8" t="s">
        <v>5</v>
      </c>
      <c r="G25" s="8"/>
      <c r="H25" s="5"/>
      <c r="I25" s="5"/>
      <c r="J25" s="7">
        <f>D25</f>
        <v>2015821.25</v>
      </c>
      <c r="K25" s="5"/>
      <c r="L25" s="5"/>
    </row>
    <row r="26" spans="1:13" x14ac:dyDescent="0.3">
      <c r="A26" s="6" t="s">
        <v>14</v>
      </c>
      <c r="B26" s="6"/>
      <c r="C26" s="6"/>
      <c r="D26" s="54">
        <v>9199098.6099999994</v>
      </c>
      <c r="E26" s="24">
        <v>1</v>
      </c>
      <c r="F26" s="8" t="s">
        <v>5</v>
      </c>
      <c r="G26" s="8"/>
      <c r="H26" s="5"/>
      <c r="I26" s="5"/>
      <c r="J26" s="7">
        <f>D26</f>
        <v>9199098.6099999994</v>
      </c>
      <c r="K26" s="5"/>
      <c r="L26" s="5"/>
    </row>
    <row r="27" spans="1:13" x14ac:dyDescent="0.3">
      <c r="A27" s="40"/>
      <c r="B27" s="40"/>
      <c r="C27" s="40"/>
      <c r="D27" s="64"/>
      <c r="E27" s="66"/>
      <c r="F27" s="5"/>
      <c r="G27" s="5"/>
      <c r="H27" s="23"/>
      <c r="I27" s="23"/>
      <c r="J27" s="65"/>
      <c r="K27" s="23"/>
      <c r="L27" s="23"/>
    </row>
    <row r="28" spans="1:13" ht="15" thickBot="1" x14ac:dyDescent="0.35">
      <c r="A28" s="13" t="s">
        <v>25</v>
      </c>
      <c r="B28" s="13"/>
      <c r="C28" s="13"/>
      <c r="D28" s="32">
        <v>625000</v>
      </c>
      <c r="E28" s="26">
        <v>1</v>
      </c>
      <c r="F28" s="12" t="s">
        <v>5</v>
      </c>
      <c r="G28" s="12"/>
      <c r="H28" s="12"/>
      <c r="I28" s="12"/>
      <c r="J28" s="14">
        <f>D28</f>
        <v>625000</v>
      </c>
      <c r="K28" s="12"/>
      <c r="L28" s="12"/>
    </row>
    <row r="29" spans="1:13" ht="15" thickBot="1" x14ac:dyDescent="0.35">
      <c r="A29" s="1"/>
      <c r="B29" s="1"/>
      <c r="C29" s="1"/>
      <c r="D29" s="38"/>
      <c r="E29" s="1"/>
      <c r="J29" s="35">
        <f>SUM(J21:J28)</f>
        <v>11839919.859999999</v>
      </c>
      <c r="K29" s="46">
        <f>SUM(K21:K28)</f>
        <v>0.99999999999999911</v>
      </c>
      <c r="L29" s="46">
        <f>SUM(L21:L28)</f>
        <v>1.0003914412877644</v>
      </c>
    </row>
    <row r="30" spans="1:13" x14ac:dyDescent="0.3">
      <c r="A30" s="1"/>
      <c r="B30" s="38"/>
      <c r="C30" s="1"/>
      <c r="D30" s="1"/>
      <c r="E30" s="1"/>
    </row>
    <row r="31" spans="1:13" x14ac:dyDescent="0.3">
      <c r="A31" s="1"/>
      <c r="B31" s="1"/>
      <c r="C31" s="1"/>
      <c r="D31" s="1"/>
      <c r="E31" s="1"/>
    </row>
    <row r="32" spans="1:13" ht="15" thickBot="1" x14ac:dyDescent="0.35">
      <c r="A32" s="3" t="s">
        <v>16</v>
      </c>
    </row>
    <row r="33" spans="1:12" ht="29.4" thickBot="1" x14ac:dyDescent="0.35">
      <c r="A33" s="16"/>
      <c r="B33" s="17" t="s">
        <v>7</v>
      </c>
      <c r="C33" s="17" t="s">
        <v>0</v>
      </c>
      <c r="D33" s="11" t="s">
        <v>18</v>
      </c>
      <c r="E33" s="11" t="s">
        <v>9</v>
      </c>
      <c r="F33" s="11" t="s">
        <v>3</v>
      </c>
      <c r="G33" s="11"/>
      <c r="H33" s="11" t="s">
        <v>6</v>
      </c>
      <c r="I33" s="18"/>
      <c r="J33" s="15" t="s">
        <v>17</v>
      </c>
      <c r="K33" s="20" t="s">
        <v>11</v>
      </c>
      <c r="L33" s="20" t="s">
        <v>10</v>
      </c>
    </row>
    <row r="34" spans="1:12" x14ac:dyDescent="0.3">
      <c r="A34" s="23" t="s">
        <v>8</v>
      </c>
      <c r="B34" s="40" t="s">
        <v>47</v>
      </c>
      <c r="C34" s="40" t="s">
        <v>48</v>
      </c>
      <c r="D34" s="24">
        <v>0</v>
      </c>
      <c r="E34" s="24">
        <v>125000</v>
      </c>
      <c r="F34" s="5" t="s">
        <v>5</v>
      </c>
      <c r="G34" s="23"/>
      <c r="H34" s="33">
        <v>0</v>
      </c>
      <c r="I34" s="23"/>
      <c r="J34" s="7">
        <f>J21</f>
        <v>0</v>
      </c>
      <c r="K34" s="27">
        <f>SUM(K10:K11)</f>
        <v>0.56391268500568803</v>
      </c>
      <c r="L34" s="25">
        <f>SUM(J34:J35)/$B$6</f>
        <v>0</v>
      </c>
    </row>
    <row r="35" spans="1:12" ht="15" thickBot="1" x14ac:dyDescent="0.35">
      <c r="A35" s="12" t="s">
        <v>23</v>
      </c>
      <c r="B35" s="12"/>
      <c r="C35" s="12"/>
      <c r="D35" s="31">
        <v>0</v>
      </c>
      <c r="E35" s="26"/>
      <c r="F35" s="12" t="s">
        <v>4</v>
      </c>
      <c r="G35" s="12"/>
      <c r="H35" s="12"/>
      <c r="I35" s="12"/>
      <c r="J35" s="31">
        <f>J22</f>
        <v>0</v>
      </c>
      <c r="K35" s="28"/>
      <c r="L35" s="30"/>
    </row>
    <row r="36" spans="1:12" ht="15" thickBot="1" x14ac:dyDescent="0.35">
      <c r="A36" s="41" t="s">
        <v>24</v>
      </c>
      <c r="B36" s="41"/>
      <c r="C36" s="41"/>
      <c r="D36" s="45">
        <v>0</v>
      </c>
      <c r="E36" s="42"/>
      <c r="F36" s="41" t="s">
        <v>22</v>
      </c>
      <c r="G36" s="41"/>
      <c r="H36" s="41"/>
      <c r="I36" s="41"/>
      <c r="J36" s="45">
        <f>J23</f>
        <v>0</v>
      </c>
      <c r="K36" s="44">
        <f>K12</f>
        <v>4.7354294418635097E-2</v>
      </c>
      <c r="L36" s="44">
        <f>J36/$B$6</f>
        <v>0</v>
      </c>
    </row>
    <row r="37" spans="1:12" ht="15" thickBot="1" x14ac:dyDescent="0.35">
      <c r="A37" s="13" t="s">
        <v>26</v>
      </c>
      <c r="B37" s="13"/>
      <c r="C37" s="13"/>
      <c r="D37" s="47"/>
      <c r="E37" s="26"/>
      <c r="F37" s="12" t="s">
        <v>5</v>
      </c>
      <c r="G37" s="12"/>
      <c r="H37" s="12"/>
      <c r="I37" s="12"/>
      <c r="J37" s="31">
        <f>SUM(J24,J25,J26,J28)</f>
        <v>11839919.859999999</v>
      </c>
      <c r="K37" s="67">
        <f>K24</f>
        <v>0.38873302057567588</v>
      </c>
      <c r="L37" s="67">
        <f>L24</f>
        <v>1.0003914412877644</v>
      </c>
    </row>
    <row r="38" spans="1:12" ht="15" thickBot="1" x14ac:dyDescent="0.35">
      <c r="A38" s="1"/>
      <c r="B38" s="1"/>
      <c r="C38" s="1"/>
      <c r="D38" s="1"/>
      <c r="E38" s="1"/>
      <c r="J38" s="35">
        <f>SUM(J34:J37)</f>
        <v>11839919.859999999</v>
      </c>
      <c r="K38" s="46">
        <f>SUM(K34:K37)</f>
        <v>0.99999999999999911</v>
      </c>
      <c r="L38" s="46">
        <f>SUM(L34:L37)</f>
        <v>1.0003914412877644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2024-10-22T11:26:50Z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