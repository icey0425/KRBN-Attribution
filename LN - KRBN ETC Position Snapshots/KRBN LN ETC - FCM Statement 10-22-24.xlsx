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3483B2C-115C-404C-8F18-6437F2B7770C}" xr6:coauthVersionLast="47" xr6:coauthVersionMax="47" xr10:uidLastSave="{D0DBA11E-9FB8-4185-B0D2-E9074BC62A73}"/>
  <bookViews>
    <workbookView xWindow="30195" yWindow="4305" windowWidth="2215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<sst xmlns="http://schemas.openxmlformats.org/spreadsheetml/2006/main" count="91" uniqueCount="51">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</sst>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45587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11785369.060000001</v>
      </c>
      <c r="J6" t="s">
        <v>27</v>
      </c>
    </row>
    <row r="7" spans="1:12" x14ac:dyDescent="0.3">
      <c r="J7" s="63">
        <f>(D25+D26)/B6</f>
        <v>0.94738038946062486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1.0809992757304854</v>
      </c>
      <c r="H10" s="54">
        <v>62.25</v>
      </c>
      <c r="I10" s="5"/>
      <c r="J10" s="10">
        <f>D10*E10*G10*H10</f>
        <v>5989006.2373658223</v>
      </c>
      <c r="K10" s="60">
        <v>0.52339385327186705</v>
      </c>
      <c r="L10" s="21">
        <f t="shared" ref="L10:L14" si="0">J10/$B$6</f>
        <v>0.50817299033025121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1.0809992757304854</v>
      </c>
      <c r="H11" s="54">
        <v>64.180000000000007</v>
      </c>
      <c r="I11" s="5"/>
      <c r="J11" s="10">
        <f t="shared" ref="J11:J12" si="1">D11*E11*G11*H11</f>
        <v>555028.26813106041</v>
      </c>
      <c r="K11" s="60">
        <v>4.7068294592023899E-2</v>
      </c>
      <c r="L11" s="21">
        <f t="shared" si="0"/>
        <v>4.7094687090864881E-2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1.2977574750830565</v>
      </c>
      <c r="H12" s="54">
        <v>40.32</v>
      </c>
      <c r="I12" s="5"/>
      <c r="J12" s="10">
        <f t="shared" si="1"/>
        <v>523255.81395348837</v>
      </c>
      <c r="K12" s="60">
        <v>4.8089275670923103E-2</v>
      </c>
      <c r="L12" s="21">
        <f t="shared" si="0"/>
        <v>4.4398763525313675E-2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37.49</v>
      </c>
      <c r="I13" s="5"/>
      <c r="J13" s="10">
        <f>D13*E13*H13</f>
        <v>3036690</v>
      </c>
      <c r="K13" s="60">
        <v>0.27352846967642702</v>
      </c>
      <c r="L13" s="21">
        <f t="shared" si="0"/>
        <v>0.25766609297850873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39.659999999999997</v>
      </c>
      <c r="I14" s="5"/>
      <c r="J14" s="10">
        <f>D14*E14*H14</f>
        <v>594900</v>
      </c>
      <c r="K14" s="60">
        <v>5.4123257232660503E-2</v>
      </c>
      <c r="L14" s="21">
        <f t="shared" si="0"/>
        <v>5.0477842227199629E-2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20.59</v>
      </c>
      <c r="I15" s="12"/>
      <c r="J15" s="14">
        <f>D15*E15*H15</f>
        <v>617700</v>
      </c>
      <c r="K15" s="61">
        <v>5.3796849556097801E-2</v>
      </c>
      <c r="L15" s="21">
        <f>J15/$B$6</f>
        <v>5.2412444349875964E-2</v>
      </c>
    </row>
    <row r="16" spans="1:12" ht="15" thickBot="1" x14ac:dyDescent="0.35">
      <c r="J16" s="35">
        <f>SUM(J10:J15)</f>
        <v>11316580.319450371</v>
      </c>
      <c r="K16" s="36">
        <f>SUM(K10:K15)</f>
        <v>0.99999999999999933</v>
      </c>
      <c r="L16" s="37">
        <f>SUM(L10:L15)</f>
        <v>0.96022282050201402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0.57046214786389093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1.0809992757304854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1.2977574750830565</v>
      </c>
      <c r="H23" s="41"/>
      <c r="I23" s="41"/>
      <c r="J23" s="43">
        <f>D23*G23</f>
        <v>0</v>
      </c>
      <c r="K23" s="44">
        <f>K12</f>
        <v>4.8089275670923103E-2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0.38144857646518532</v>
      </c>
      <c r="L24" s="25">
        <f>SUM(J24:J28)/$B$6</f>
        <v>1.0004122458936384</v>
      </c>
    </row>
    <row r="25" spans="1:13" x14ac:dyDescent="0.3">
      <c r="A25" s="6" t="s">
        <v>13</v>
      </c>
      <c r="B25" s="6"/>
      <c r="C25" s="6"/>
      <c r="D25" s="54">
        <v>2013094.78</v>
      </c>
      <c r="E25" s="24">
        <v>1</v>
      </c>
      <c r="F25" s="8" t="s">
        <v>5</v>
      </c>
      <c r="G25" s="8"/>
      <c r="H25" s="5"/>
      <c r="I25" s="5"/>
      <c r="J25" s="7">
        <f>D25</f>
        <v>2013094.78</v>
      </c>
      <c r="K25" s="5"/>
      <c r="L25" s="5"/>
    </row>
    <row r="26" spans="1:13" x14ac:dyDescent="0.3">
      <c r="A26" s="6" t="s">
        <v>14</v>
      </c>
      <c r="B26" s="6"/>
      <c r="C26" s="6"/>
      <c r="D26" s="54">
        <v>9152132.75</v>
      </c>
      <c r="E26" s="24">
        <v>1</v>
      </c>
      <c r="F26" s="8" t="s">
        <v>5</v>
      </c>
      <c r="G26" s="8"/>
      <c r="H26" s="5"/>
      <c r="I26" s="5"/>
      <c r="J26" s="7">
        <f>D26</f>
        <v>9152132.75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11790227.529999999</v>
      </c>
      <c r="K29" s="46">
        <f>SUM(K21:K28)</f>
        <v>0.99999999999999933</v>
      </c>
      <c r="L29" s="46">
        <f>SUM(L21:L28)</f>
        <v>1.0004122458936384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0.57046214786389093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4.8089275670923103E-2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11790227.529999999</v>
      </c>
      <c r="K37" s="67">
        <f>K24</f>
        <v>0.38144857646518532</v>
      </c>
      <c r="L37" s="67">
        <f>L24</f>
        <v>1.0004122458936384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11790227.529999999</v>
      </c>
      <c r="K38" s="46">
        <f>SUM(K34:K37)</f>
        <v>0.99999999999999933</v>
      </c>
      <c r="L38" s="46">
        <f>SUM(L34:L37)</f>
        <v>1.0004122458936384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2024-10-23T12:14:03Z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