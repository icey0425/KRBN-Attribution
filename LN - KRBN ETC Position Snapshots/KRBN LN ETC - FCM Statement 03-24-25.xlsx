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9B5F1E92-9C38-4C2A-A8F3-099E7FA1CAF9}" xr6:coauthVersionLast="47" xr6:coauthVersionMax="47" xr10:uidLastSave="{839AFE73-5648-4299-9E2C-6BEEDEBBE0A9}"/>
  <bookViews>
    <workbookView xWindow="29790" yWindow="4305" windowWidth="22095" windowHeight="1000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<sst xmlns="http://schemas.openxmlformats.org/spreadsheetml/2006/main" count="103" uniqueCount="56">
  <si>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</si>
  <si>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</si>
  <si>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</si>
  <si>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</si>
  <si>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</si>
  <si>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</si>
  <si>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</si>
  <si>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</si>
  <si>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</si>
  <si>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</si>
  <si>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</si>
  <si>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</si>
  <si>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</si>
  <si>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</si>
  <si>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</si>
  <si>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</si>
  <si>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</si>
  <si>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</si>
  <si>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</si>
  <si>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</si>
  <si>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</si>
  <si>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</si>
  <si>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</si>
  <si>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</si>
  <si>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</si>
  <si>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</si>
  <si>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</si>
  <si>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</si>
  <si>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</si>
  <si>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</si>
  <si>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</si>
  <si>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</si>
  <si>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</si>
  <si>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</si>
  <si>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</si>
  <si>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</si>
  <si>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</si>
  <si>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</si>
  <si>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</si>
  <si>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</si>
  <si>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</si>
  <si>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</si>
  <si>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</si>
  <si>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</si>
  <si>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</si>
  <si>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</si>
  <si>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</si>
  <si>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</si>
  <si>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</si>
  <si>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</si>
  <si>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</si>
  <si>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</si>
  <si>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</si>
  <si>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</si>
  <si>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ECM5 Curncy</t>
  </si>
  <si>
    <t>EURO FX CURR FUT  Jun25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</si>
</sst>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4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2" ht="23.1" customHeight="1" x14ac:dyDescent="0.3">
      <c r="A2" t="s">
        <v>34</v>
      </c>
      <c r="J2" s="43"/>
      <c r="K2" s="44"/>
      <c r="L2" s="45"/>
    </row>
    <row r="3" spans="1:12" x14ac:dyDescent="0.3">
      <c r="A3" t="s">
        <v>15</v>
      </c>
      <c r="B3" s="56">
        <v>45740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>
        <v>0</v>
      </c>
    </row>
    <row r="6" spans="1:12" x14ac:dyDescent="0.3">
      <c r="A6" s="2" t="s">
        <v>19</v>
      </c>
      <c r="B6" s="37">
        <v>11896542.470000001</v>
      </c>
      <c r="J6" t="s">
        <v>25</v>
      </c>
    </row>
    <row r="7" spans="1:12" x14ac:dyDescent="0.3">
      <c r="J7" s="57">
        <f>(D28+D29)/B6</f>
        <v>0.95024196051140553</v>
      </c>
      <c r="K7" s="18"/>
    </row>
    <row r="8" spans="1:12" ht="15" thickBot="1" x14ac:dyDescent="0.35">
      <c r="A8" s="2" t="s">
        <v>26</v>
      </c>
    </row>
    <row r="9" spans="1:12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2" x14ac:dyDescent="0.3">
      <c r="A10" s="4" t="s">
        <v>27</v>
      </c>
      <c r="B10" s="5" t="s">
        <v>28</v>
      </c>
      <c r="C10" s="8" t="s">
        <v>29</v>
      </c>
      <c r="D10" s="48">
        <v>86</v>
      </c>
      <c r="E10" s="46">
        <v>1000</v>
      </c>
      <c r="F10" s="4" t="s">
        <v>4</v>
      </c>
      <c r="G10" s="62">
        <v>1.0794007167220758</v>
      </c>
      <c r="H10" s="49">
        <v>71.52</v>
      </c>
      <c r="I10" s="4"/>
      <c r="J10" s="9">
        <f>D10*E10*G10*H10</f>
        <v>6639091.5763568059</v>
      </c>
      <c r="K10" s="54">
        <v>0.57142304264425003</v>
      </c>
      <c r="L10" s="20">
        <f t="shared" ref="L10:L15" si="0">J10/$B$6</f>
        <v>0.55806900140094284</v>
      </c>
    </row>
    <row r="11" spans="1:12" x14ac:dyDescent="0.3">
      <c r="A11" s="4" t="s">
        <v>35</v>
      </c>
      <c r="B11" s="5" t="s">
        <v>36</v>
      </c>
      <c r="C11" s="8" t="s">
        <v>37</v>
      </c>
      <c r="D11" s="48">
        <v>8</v>
      </c>
      <c r="E11" s="46">
        <v>1000</v>
      </c>
      <c r="F11" s="4" t="s">
        <v>4</v>
      </c>
      <c r="G11" s="62">
        <v>1.0794007167220758</v>
      </c>
      <c r="H11" s="49">
        <v>73.599999999999994</v>
      </c>
      <c r="I11" s="4"/>
      <c r="J11" s="9">
        <f t="shared" ref="J11:J12" si="1">D11*E11*G11*H11</f>
        <v>635551.14200595825</v>
      </c>
      <c r="K11" s="54">
        <v>5.1933262855117297E-2</v>
      </c>
      <c r="L11" s="20">
        <f t="shared" si="0"/>
        <v>5.342318103000545E-2</v>
      </c>
    </row>
    <row r="12" spans="1:12" x14ac:dyDescent="0.3">
      <c r="A12" s="4" t="s">
        <v>38</v>
      </c>
      <c r="B12" s="5" t="s">
        <v>39</v>
      </c>
      <c r="C12" s="8" t="s">
        <v>40</v>
      </c>
      <c r="D12" s="48">
        <v>12</v>
      </c>
      <c r="E12" s="46">
        <v>1000</v>
      </c>
      <c r="F12" s="4" t="s">
        <v>22</v>
      </c>
      <c r="G12" s="62">
        <v>1.2911555842479019</v>
      </c>
      <c r="H12" s="49">
        <v>46.03</v>
      </c>
      <c r="I12" s="4"/>
      <c r="J12" s="9">
        <f t="shared" si="1"/>
        <v>713182.69851517107</v>
      </c>
      <c r="K12" s="54">
        <v>6.0718583946035999E-2</v>
      </c>
      <c r="L12" s="20">
        <f t="shared" si="0"/>
        <v>5.994873723299296E-2</v>
      </c>
    </row>
    <row r="13" spans="1:12" x14ac:dyDescent="0.3">
      <c r="A13" s="4" t="s">
        <v>30</v>
      </c>
      <c r="B13" s="5" t="s">
        <v>31</v>
      </c>
      <c r="C13" s="8" t="s">
        <v>32</v>
      </c>
      <c r="D13" s="48">
        <v>63</v>
      </c>
      <c r="E13" s="46">
        <v>1000</v>
      </c>
      <c r="F13" s="4" t="s">
        <v>5</v>
      </c>
      <c r="G13" s="47"/>
      <c r="H13" s="49">
        <v>31.71</v>
      </c>
      <c r="I13" s="4"/>
      <c r="J13" s="9">
        <f>D13*E13*H13</f>
        <v>1997730</v>
      </c>
      <c r="K13" s="54">
        <v>0.17505657479779199</v>
      </c>
      <c r="L13" s="20">
        <f t="shared" si="0"/>
        <v>0.16792526106116612</v>
      </c>
    </row>
    <row r="14" spans="1:12" x14ac:dyDescent="0.3">
      <c r="A14" s="4" t="s">
        <v>41</v>
      </c>
      <c r="B14" s="5" t="s">
        <v>42</v>
      </c>
      <c r="C14" s="8" t="s">
        <v>43</v>
      </c>
      <c r="D14" s="48">
        <v>16</v>
      </c>
      <c r="E14" s="46">
        <v>1000</v>
      </c>
      <c r="F14" s="4" t="s">
        <v>5</v>
      </c>
      <c r="G14" s="47"/>
      <c r="H14" s="49">
        <v>33.729999999999997</v>
      </c>
      <c r="I14" s="4"/>
      <c r="J14" s="9">
        <f>D14*E14*H14</f>
        <v>539680</v>
      </c>
      <c r="K14" s="54">
        <v>4.3948981550913403E-2</v>
      </c>
      <c r="L14" s="20">
        <f t="shared" ref="L14" si="2">J14/$B$6</f>
        <v>4.5364441085376968E-2</v>
      </c>
    </row>
    <row r="15" spans="1:12" x14ac:dyDescent="0.3">
      <c r="A15" s="4" t="s">
        <v>44</v>
      </c>
      <c r="B15" s="5" t="s">
        <v>45</v>
      </c>
      <c r="C15" s="8" t="s">
        <v>46</v>
      </c>
      <c r="D15" s="48">
        <v>24</v>
      </c>
      <c r="E15" s="46">
        <v>1000</v>
      </c>
      <c r="F15" s="4" t="s">
        <v>5</v>
      </c>
      <c r="G15" s="4"/>
      <c r="H15" s="49">
        <v>22.85</v>
      </c>
      <c r="I15" s="4"/>
      <c r="J15" s="9">
        <f>D15*E15*H15</f>
        <v>548400</v>
      </c>
      <c r="K15" s="54">
        <v>4.82818017887294E-2</v>
      </c>
      <c r="L15" s="20">
        <f t="shared" si="0"/>
        <v>4.6097427162801526E-2</v>
      </c>
    </row>
    <row r="16" spans="1:12" ht="15" thickBot="1" x14ac:dyDescent="0.35">
      <c r="A16" s="11" t="s">
        <v>47</v>
      </c>
      <c r="B16" s="12" t="s">
        <v>48</v>
      </c>
      <c r="C16" s="12" t="s">
        <v>49</v>
      </c>
      <c r="D16" s="50">
        <v>10</v>
      </c>
      <c r="E16" s="51">
        <v>1000</v>
      </c>
      <c r="F16" s="11" t="s">
        <v>5</v>
      </c>
      <c r="G16" s="11"/>
      <c r="H16" s="52">
        <v>58.25</v>
      </c>
      <c r="I16" s="11"/>
      <c r="J16" s="13">
        <f>D16*E16*H16</f>
        <v>582500</v>
      </c>
      <c r="K16" s="55">
        <v>4.8637752417160902E-2</v>
      </c>
      <c r="L16" s="20">
        <f>J16/$B$6</f>
        <v>4.8963806204106293E-2</v>
      </c>
    </row>
    <row r="17" spans="1:13" ht="15" thickBot="1" x14ac:dyDescent="0.35">
      <c r="J17" s="33">
        <f>SUM(J10:J16)</f>
        <v>11656135.416877937</v>
      </c>
      <c r="K17" s="34">
        <f>SUM(K10:K16)</f>
        <v>0.99999999999999922</v>
      </c>
      <c r="L17" s="35">
        <f>SUM(L10:L16)</f>
        <v>0.9797918551773922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50</v>
      </c>
      <c r="E22" s="46">
        <v>125000</v>
      </c>
      <c r="F22" s="4" t="s">
        <v>5</v>
      </c>
      <c r="G22" s="22"/>
      <c r="H22" s="53">
        <v>1.08565</v>
      </c>
      <c r="I22" s="22"/>
      <c r="J22" s="6">
        <f>D22*E22*H22</f>
        <v>6785312.5</v>
      </c>
      <c r="K22" s="26">
        <f>SUM(K10:K11)</f>
        <v>0.62335630549936738</v>
      </c>
      <c r="L22" s="24">
        <f>SUM(J22:J24)/$B$6</f>
        <v>0.62948048903240461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1.0794007167220758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651592</v>
      </c>
      <c r="E24" s="25">
        <v>1</v>
      </c>
      <c r="F24" s="11" t="s">
        <v>4</v>
      </c>
      <c r="G24" s="61">
        <v>1.0794007167220758</v>
      </c>
      <c r="H24" s="11"/>
      <c r="I24" s="11"/>
      <c r="J24" s="13">
        <f>D24*G24</f>
        <v>703328.87181037082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1.2911555842479019</v>
      </c>
      <c r="H25" s="7"/>
      <c r="I25" s="7"/>
      <c r="J25" s="9">
        <f>D25*G25</f>
        <v>0</v>
      </c>
      <c r="K25" s="69">
        <f>K12</f>
        <v>6.0718583946035999E-2</v>
      </c>
      <c r="L25" s="69">
        <f>(SUM(J25:J26))/B6</f>
        <v>5.2463067915095238E-2</v>
      </c>
    </row>
    <row r="26" spans="1:13" ht="15" thickBot="1" x14ac:dyDescent="0.35">
      <c r="A26" s="64" t="s">
        <v>53</v>
      </c>
      <c r="B26" s="11"/>
      <c r="C26" s="11"/>
      <c r="D26" s="52">
        <v>483388</v>
      </c>
      <c r="E26" s="25">
        <v>1</v>
      </c>
      <c r="F26" s="11" t="s">
        <v>22</v>
      </c>
      <c r="G26" s="61">
        <v>1.2911555842479019</v>
      </c>
      <c r="H26" s="11"/>
      <c r="I26" s="11"/>
      <c r="J26" s="13">
        <f>D26*G26</f>
        <v>624129.11555842485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-50</v>
      </c>
      <c r="E27" s="23">
        <v>-125000</v>
      </c>
      <c r="F27" s="7" t="s">
        <v>5</v>
      </c>
      <c r="G27" s="7"/>
      <c r="H27" s="7"/>
      <c r="I27" s="7"/>
      <c r="J27" s="9">
        <f>-J22</f>
        <v>-6785312.5</v>
      </c>
      <c r="K27" s="65">
        <f>SUM(K13:K16)</f>
        <v>0.31592511055459566</v>
      </c>
      <c r="L27" s="20">
        <f>SUM(J27:J31)/$B$6</f>
        <v>0.31853633710696144</v>
      </c>
    </row>
    <row r="28" spans="1:13" x14ac:dyDescent="0.3">
      <c r="A28" s="5" t="s">
        <v>13</v>
      </c>
      <c r="B28" s="5"/>
      <c r="C28" s="5"/>
      <c r="D28" s="49">
        <v>1818306.77</v>
      </c>
      <c r="E28" s="23">
        <v>1</v>
      </c>
      <c r="F28" s="7" t="s">
        <v>5</v>
      </c>
      <c r="G28" s="7"/>
      <c r="H28" s="4"/>
      <c r="I28" s="4"/>
      <c r="J28" s="6">
        <f>D28</f>
        <v>1818306.77</v>
      </c>
      <c r="K28" s="4"/>
      <c r="L28" s="4"/>
    </row>
    <row r="29" spans="1:13" x14ac:dyDescent="0.3">
      <c r="A29" s="5" t="s">
        <v>14</v>
      </c>
      <c r="B29" s="5"/>
      <c r="C29" s="5"/>
      <c r="D29" s="49">
        <v>9486287.0700000003</v>
      </c>
      <c r="E29" s="23">
        <v>1</v>
      </c>
      <c r="F29" s="7" t="s">
        <v>5</v>
      </c>
      <c r="G29" s="7"/>
      <c r="H29" s="4"/>
      <c r="I29" s="4"/>
      <c r="J29" s="6">
        <f>D29-J26-J24</f>
        <v>8158829.0826312043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597657.71</v>
      </c>
      <c r="E31" s="25">
        <v>1</v>
      </c>
      <c r="F31" s="11" t="s">
        <v>5</v>
      </c>
      <c r="G31" s="11"/>
      <c r="H31" s="11"/>
      <c r="I31" s="11"/>
      <c r="J31" s="13">
        <f>D31</f>
        <v>597657.71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11902251.550000001</v>
      </c>
      <c r="K32" s="42">
        <f>SUM(K22:K31)</f>
        <v>0.99999999999999911</v>
      </c>
      <c r="L32" s="42">
        <f>SUM(L22:L31)</f>
        <v>1.0004798940544612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50</v>
      </c>
      <c r="E37" s="23">
        <v>125000</v>
      </c>
      <c r="F37" s="4" t="s">
        <v>5</v>
      </c>
      <c r="G37" s="22"/>
      <c r="H37" s="31">
        <v>1.08565</v>
      </c>
      <c r="I37" s="22"/>
      <c r="J37" s="6">
        <f>J22</f>
        <v>6785312.5</v>
      </c>
      <c r="K37" s="26">
        <f>SUM(K10:K11)</f>
        <v>0.62335630549936738</v>
      </c>
      <c r="L37" s="24">
        <f>SUM(J37:J39)/$B$6</f>
        <v>0.62948048903240461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651592</v>
      </c>
      <c r="E39" s="25"/>
      <c r="F39" s="11" t="s">
        <v>4</v>
      </c>
      <c r="G39" s="11"/>
      <c r="H39" s="11"/>
      <c r="I39" s="11"/>
      <c r="J39" s="29">
        <f>J24</f>
        <v>703328.87181037082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6.0718583946035999E-2</v>
      </c>
      <c r="L40" s="69">
        <f>(SUM(J40:J41))/$B$6</f>
        <v>5.2463067915095238E-2</v>
      </c>
    </row>
    <row r="41" spans="1:12" ht="15" thickBot="1" x14ac:dyDescent="0.35">
      <c r="A41" s="11" t="s">
        <v>53</v>
      </c>
      <c r="B41" s="11"/>
      <c r="C41" s="11"/>
      <c r="D41" s="29">
        <v>483388</v>
      </c>
      <c r="E41" s="25"/>
      <c r="F41" s="11" t="s">
        <v>22</v>
      </c>
      <c r="G41" s="11"/>
      <c r="H41" s="11"/>
      <c r="I41" s="11"/>
      <c r="J41" s="29">
        <f>J26</f>
        <v>624129.11555842485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3789481.0626312038</v>
      </c>
      <c r="K42" s="71">
        <f>K27</f>
        <v>0.31592511055459566</v>
      </c>
      <c r="L42" s="71">
        <f>L27</f>
        <v>0.31853633710696144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11902251.550000001</v>
      </c>
      <c r="K43" s="42">
        <f>SUM(K37:K42)</f>
        <v>0.99999999999999911</v>
      </c>
      <c r="L43" s="42">
        <f>SUM(L37:L42)</f>
        <v>1.0004798940544612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2025-03-25T12:22:35Z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