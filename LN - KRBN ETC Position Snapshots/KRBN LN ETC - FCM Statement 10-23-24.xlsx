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5AFB33B-4012-43E9-A620-8874A68DDDDD}" xr6:coauthVersionLast="47" xr6:coauthVersionMax="47" xr10:uidLastSave="{623A16A4-2AB5-443D-BB11-7A786B4EA601}"/>
  <bookViews>
    <workbookView xWindow="30030" yWindow="4020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<sst xmlns="http://schemas.openxmlformats.org/spreadsheetml/2006/main" count="91" uniqueCount="51">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</sst>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12040917.459999999</v>
      </c>
      <c r="J6" t="s">
        <v>27</v>
      </c>
    </row>
    <row r="7" spans="1:12" x14ac:dyDescent="0.3">
      <c r="J7" s="63">
        <f>(D25+D26)/B6</f>
        <v>0.94852017447514347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1.077504929585053</v>
      </c>
      <c r="H10" s="54">
        <v>64.89</v>
      </c>
      <c r="I10" s="5"/>
      <c r="J10" s="10">
        <f>D10*E10*G10*H10</f>
        <v>6222817.2443888932</v>
      </c>
      <c r="K10" s="60">
        <v>0.53301543994745304</v>
      </c>
      <c r="L10" s="21">
        <f t="shared" ref="L10:L14" si="0">J10/$B$6</f>
        <v>0.51680590495376533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1.077504929585053</v>
      </c>
      <c r="H11" s="54">
        <v>66.819999999999993</v>
      </c>
      <c r="I11" s="5"/>
      <c r="J11" s="10">
        <f t="shared" ref="J11:J12" si="1">D11*E11*G11*H11</f>
        <v>575991.03515898576</v>
      </c>
      <c r="K11" s="60">
        <v>4.7874910448458902E-2</v>
      </c>
      <c r="L11" s="21">
        <f t="shared" si="0"/>
        <v>4.7836141811654423E-2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1.2947497896031592</v>
      </c>
      <c r="H12" s="54">
        <v>40.479999999999997</v>
      </c>
      <c r="I12" s="5"/>
      <c r="J12" s="10">
        <f t="shared" si="1"/>
        <v>524114.71483135887</v>
      </c>
      <c r="K12" s="60">
        <v>4.7211115983273003E-2</v>
      </c>
      <c r="L12" s="21">
        <f t="shared" si="0"/>
        <v>4.3527805632126548E-2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37.24</v>
      </c>
      <c r="I13" s="5"/>
      <c r="J13" s="10">
        <f>D13*E13*H13</f>
        <v>3016440</v>
      </c>
      <c r="K13" s="60">
        <v>0.26630415087968301</v>
      </c>
      <c r="L13" s="21">
        <f t="shared" si="0"/>
        <v>0.25051579416773118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39.409999999999997</v>
      </c>
      <c r="I14" s="5"/>
      <c r="J14" s="10">
        <f>D14*E14*H14</f>
        <v>591150</v>
      </c>
      <c r="K14" s="60">
        <v>5.2713131702753997E-2</v>
      </c>
      <c r="L14" s="21">
        <f t="shared" si="0"/>
        <v>4.9095096114046451E-2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20.65</v>
      </c>
      <c r="I15" s="12"/>
      <c r="J15" s="14">
        <f>D15*E15*H15</f>
        <v>619500</v>
      </c>
      <c r="K15" s="61">
        <v>5.2881251038377299E-2</v>
      </c>
      <c r="L15" s="21">
        <f>J15/$B$6</f>
        <v>5.1449567863743169E-2</v>
      </c>
    </row>
    <row r="16" spans="1:12" ht="15" thickBot="1" x14ac:dyDescent="0.35">
      <c r="J16" s="35">
        <f>SUM(J10:J15)</f>
        <v>11550012.994379237</v>
      </c>
      <c r="K16" s="36">
        <f>SUM(K10:K15)</f>
        <v>0.99999999999999922</v>
      </c>
      <c r="L16" s="37">
        <f>SUM(L10:L15)</f>
        <v>0.95923031054306718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0.58089035039591197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1.077504929585053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1.2947497896031592</v>
      </c>
      <c r="H23" s="41"/>
      <c r="I23" s="41"/>
      <c r="J23" s="43">
        <f>D23*G23</f>
        <v>0</v>
      </c>
      <c r="K23" s="44">
        <f>K12</f>
        <v>4.7211115983273003E-2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0.37189853362081432</v>
      </c>
      <c r="L24" s="25">
        <f>SUM(J24:J28)/$B$6</f>
        <v>1.0004265181633429</v>
      </c>
    </row>
    <row r="25" spans="1:13" x14ac:dyDescent="0.3">
      <c r="A25" s="6" t="s">
        <v>13</v>
      </c>
      <c r="B25" s="6"/>
      <c r="C25" s="6"/>
      <c r="D25" s="54">
        <v>2010826.31</v>
      </c>
      <c r="E25" s="24">
        <v>1</v>
      </c>
      <c r="F25" s="8" t="s">
        <v>5</v>
      </c>
      <c r="G25" s="8"/>
      <c r="H25" s="5"/>
      <c r="I25" s="5"/>
      <c r="J25" s="7">
        <f>D25</f>
        <v>2010826.31</v>
      </c>
      <c r="K25" s="5"/>
      <c r="L25" s="5"/>
    </row>
    <row r="26" spans="1:13" x14ac:dyDescent="0.3">
      <c r="A26" s="6" t="s">
        <v>14</v>
      </c>
      <c r="B26" s="6"/>
      <c r="C26" s="6"/>
      <c r="D26" s="54">
        <v>9410226.8200000003</v>
      </c>
      <c r="E26" s="24">
        <v>1</v>
      </c>
      <c r="F26" s="8" t="s">
        <v>5</v>
      </c>
      <c r="G26" s="8"/>
      <c r="H26" s="5"/>
      <c r="I26" s="5"/>
      <c r="J26" s="7">
        <f>D26</f>
        <v>9410226.8200000003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12046053.130000001</v>
      </c>
      <c r="K29" s="46">
        <f>SUM(K21:K28)</f>
        <v>0.99999999999999933</v>
      </c>
      <c r="L29" s="46">
        <f>SUM(L21:L28)</f>
        <v>1.0004265181633429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0.58089035039591197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4.7211115983273003E-2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12046053.130000001</v>
      </c>
      <c r="K37" s="67">
        <f>K24</f>
        <v>0.37189853362081432</v>
      </c>
      <c r="L37" s="67">
        <f>L24</f>
        <v>1.0004265181633429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12046053.130000001</v>
      </c>
      <c r="K38" s="46">
        <f>SUM(K34:K37)</f>
        <v>0.99999999999999933</v>
      </c>
      <c r="L38" s="46">
        <f>SUM(L34:L37)</f>
        <v>1.0004265181633429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2024-10-24T12:14:28Z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