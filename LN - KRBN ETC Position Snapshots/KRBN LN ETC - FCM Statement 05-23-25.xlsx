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3927E45-A8FF-4362-8C30-6D2653A96B5F}" xr6:coauthVersionLast="47" xr6:coauthVersionMax="47" xr10:uidLastSave="{069E0A33-B778-488D-82A7-10FAB85B99C4}"/>
  <bookViews>
    <workbookView xWindow="29985" yWindow="4125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<sst xmlns="http://schemas.openxmlformats.org/spreadsheetml/2006/main" count="103" uniqueCount="56">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</sst>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45800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8640154.7200000007</v>
      </c>
      <c r="J6" t="s">
        <v>25</v>
      </c>
    </row>
    <row r="7" spans="1:13" x14ac:dyDescent="0.3">
      <c r="J7" s="57">
        <f>(D28+D29)/B6</f>
        <v>0.97594334630155777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62</v>
      </c>
      <c r="E10" s="46">
        <v>1000</v>
      </c>
      <c r="F10" s="4" t="s">
        <v>4</v>
      </c>
      <c r="G10" s="62">
        <v>1.1344556881608203</v>
      </c>
      <c r="H10" s="49">
        <v>71.56</v>
      </c>
      <c r="I10" s="4"/>
      <c r="J10" s="9">
        <f>D10*E10*G10*H10</f>
        <v>5033262.2407768741</v>
      </c>
      <c r="K10" s="54">
        <v>0.59603193611121097</v>
      </c>
      <c r="L10" s="20">
        <f t="shared" ref="L10:L15" si="0">J10/$B$6</f>
        <v>0.58254306825386037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6</v>
      </c>
      <c r="E11" s="46">
        <v>1000</v>
      </c>
      <c r="F11" s="4" t="s">
        <v>4</v>
      </c>
      <c r="G11" s="62">
        <v>1.1344556881608203</v>
      </c>
      <c r="H11" s="49">
        <v>73.39</v>
      </c>
      <c r="I11" s="4"/>
      <c r="J11" s="9">
        <f t="shared" ref="J11:J12" si="1">D11*E11*G11*H11</f>
        <v>499546.21772473562</v>
      </c>
      <c r="K11" s="54">
        <v>5.3985066110442299E-2</v>
      </c>
      <c r="L11" s="20">
        <f t="shared" si="0"/>
        <v>5.7816813924454306E-2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9</v>
      </c>
      <c r="E12" s="46">
        <v>1000</v>
      </c>
      <c r="F12" s="4" t="s">
        <v>22</v>
      </c>
      <c r="G12" s="62">
        <v>1.3496551631058264</v>
      </c>
      <c r="H12" s="49">
        <v>51.69</v>
      </c>
      <c r="I12" s="4"/>
      <c r="J12" s="9">
        <f t="shared" si="1"/>
        <v>627873.07842846145</v>
      </c>
      <c r="K12" s="54">
        <v>7.0696458812462601E-2</v>
      </c>
      <c r="L12" s="20">
        <f t="shared" si="0"/>
        <v>7.2669193871618701E-2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45</v>
      </c>
      <c r="E13" s="46">
        <v>1000</v>
      </c>
      <c r="F13" s="4" t="s">
        <v>5</v>
      </c>
      <c r="G13" s="47"/>
      <c r="H13" s="49">
        <v>27.26</v>
      </c>
      <c r="I13" s="4"/>
      <c r="J13" s="9">
        <f>D13*E13*H13</f>
        <v>1226700</v>
      </c>
      <c r="K13" s="54">
        <v>0.14927051988307199</v>
      </c>
      <c r="L13" s="20">
        <f t="shared" si="0"/>
        <v>0.14197662423341417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12</v>
      </c>
      <c r="E14" s="46">
        <v>1000</v>
      </c>
      <c r="F14" s="4" t="s">
        <v>5</v>
      </c>
      <c r="G14" s="47"/>
      <c r="H14" s="49">
        <v>29.06</v>
      </c>
      <c r="I14" s="4"/>
      <c r="J14" s="9">
        <f>D14*E14*H14</f>
        <v>348720</v>
      </c>
      <c r="K14" s="54">
        <v>3.7557276668543499E-2</v>
      </c>
      <c r="L14" s="20">
        <f t="shared" ref="L14" si="2">J14/$B$6</f>
        <v>4.03603883611936E-2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17</v>
      </c>
      <c r="E15" s="46">
        <v>1000</v>
      </c>
      <c r="F15" s="4" t="s">
        <v>5</v>
      </c>
      <c r="G15" s="4"/>
      <c r="H15" s="49">
        <v>20.309999999999999</v>
      </c>
      <c r="I15" s="4"/>
      <c r="J15" s="9">
        <f>D15*E15*H15</f>
        <v>345270</v>
      </c>
      <c r="K15" s="54">
        <v>4.2567015055110298E-2</v>
      </c>
      <c r="L15" s="20">
        <f t="shared" si="0"/>
        <v>3.9961089956037268E-2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60.24</v>
      </c>
      <c r="I16" s="11"/>
      <c r="J16" s="13">
        <f>D16*E16*H16</f>
        <v>421680</v>
      </c>
      <c r="K16" s="55">
        <v>4.9891727359157603E-2</v>
      </c>
      <c r="L16" s="20">
        <f>J16/$B$6</f>
        <v>4.880468159023893E-2</v>
      </c>
    </row>
    <row r="17" spans="1:13" ht="15" thickBot="1" x14ac:dyDescent="0.35">
      <c r="J17" s="33">
        <f>SUM(J10:J16)</f>
        <v>8503051.5369300712</v>
      </c>
      <c r="K17" s="34">
        <f>SUM(K10:K16)</f>
        <v>0.99999999999999922</v>
      </c>
      <c r="L17" s="35">
        <f>SUM(L10:L16)</f>
        <v>0.98413186019081733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33</v>
      </c>
      <c r="E22" s="46">
        <v>125000</v>
      </c>
      <c r="F22" s="4" t="s">
        <v>5</v>
      </c>
      <c r="G22" s="22"/>
      <c r="H22" s="53">
        <v>1.1375999999999999</v>
      </c>
      <c r="I22" s="22"/>
      <c r="J22" s="6">
        <f>D22*E22*H22</f>
        <v>4692600</v>
      </c>
      <c r="K22" s="26">
        <f>SUM(K10:K11)</f>
        <v>0.65001700222165326</v>
      </c>
      <c r="L22" s="24">
        <f>SUM(J22:J24)/$B$6</f>
        <v>0.63150906046185373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1.1344556881608203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673218</v>
      </c>
      <c r="E24" s="25">
        <v>1</v>
      </c>
      <c r="F24" s="11" t="s">
        <v>4</v>
      </c>
      <c r="G24" s="61">
        <v>1.1344556881608203</v>
      </c>
      <c r="H24" s="11"/>
      <c r="I24" s="11"/>
      <c r="J24" s="13">
        <f>D24*G24</f>
        <v>763735.98947225115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1.3496551631058264</v>
      </c>
      <c r="H25" s="7"/>
      <c r="I25" s="7"/>
      <c r="J25" s="9">
        <f>D25*G25</f>
        <v>0</v>
      </c>
      <c r="K25" s="69">
        <f>K12</f>
        <v>7.0696458812462601E-2</v>
      </c>
      <c r="L25" s="69">
        <f>(SUM(J25:J26))/B6</f>
        <v>8.50076172738123E-2</v>
      </c>
    </row>
    <row r="26" spans="1:13" ht="15" thickBot="1" x14ac:dyDescent="0.35">
      <c r="A26" s="64" t="s">
        <v>53</v>
      </c>
      <c r="B26" s="11"/>
      <c r="C26" s="11"/>
      <c r="D26" s="52">
        <v>544197.5</v>
      </c>
      <c r="E26" s="25">
        <v>1</v>
      </c>
      <c r="F26" s="11" t="s">
        <v>22</v>
      </c>
      <c r="G26" s="61">
        <v>1.3496551631058264</v>
      </c>
      <c r="H26" s="11"/>
      <c r="I26" s="11"/>
      <c r="J26" s="13">
        <f>D26*G26</f>
        <v>734478.96562428295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-33</v>
      </c>
      <c r="E27" s="23">
        <v>-125000</v>
      </c>
      <c r="F27" s="7" t="s">
        <v>5</v>
      </c>
      <c r="G27" s="7"/>
      <c r="H27" s="7"/>
      <c r="I27" s="7"/>
      <c r="J27" s="9">
        <f>-J22</f>
        <v>-4692600</v>
      </c>
      <c r="K27" s="65">
        <f>SUM(K13:K16)</f>
        <v>0.2792865389658834</v>
      </c>
      <c r="L27" s="20">
        <f>SUM(J27:J31)/$B$6</f>
        <v>0.28564525808670538</v>
      </c>
    </row>
    <row r="28" spans="1:13" x14ac:dyDescent="0.3">
      <c r="A28" s="5" t="s">
        <v>13</v>
      </c>
      <c r="B28" s="5"/>
      <c r="C28" s="5"/>
      <c r="D28" s="49">
        <v>1378643.77</v>
      </c>
      <c r="E28" s="23">
        <v>1</v>
      </c>
      <c r="F28" s="7" t="s">
        <v>5</v>
      </c>
      <c r="G28" s="7"/>
      <c r="H28" s="4"/>
      <c r="I28" s="4"/>
      <c r="J28" s="6">
        <f>D28</f>
        <v>1378643.77</v>
      </c>
      <c r="K28" s="4"/>
      <c r="L28" s="4"/>
    </row>
    <row r="29" spans="1:13" x14ac:dyDescent="0.3">
      <c r="A29" s="5" t="s">
        <v>14</v>
      </c>
      <c r="B29" s="5"/>
      <c r="C29" s="5"/>
      <c r="D29" s="49">
        <v>7053657.7400000002</v>
      </c>
      <c r="E29" s="23">
        <v>1</v>
      </c>
      <c r="F29" s="7" t="s">
        <v>5</v>
      </c>
      <c r="G29" s="7"/>
      <c r="H29" s="4"/>
      <c r="I29" s="4"/>
      <c r="J29" s="6">
        <f>D29-J26-J24</f>
        <v>5555442.7849034658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226532.67</v>
      </c>
      <c r="E31" s="25">
        <v>1</v>
      </c>
      <c r="F31" s="11" t="s">
        <v>5</v>
      </c>
      <c r="G31" s="11"/>
      <c r="H31" s="11"/>
      <c r="I31" s="11"/>
      <c r="J31" s="13">
        <f>D31</f>
        <v>226532.67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8658834.1799999997</v>
      </c>
      <c r="K32" s="42">
        <f>SUM(K22:K31)</f>
        <v>0.99999999999999922</v>
      </c>
      <c r="L32" s="42">
        <f>SUM(L22:L31)</f>
        <v>1.0021619358223715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33</v>
      </c>
      <c r="E37" s="23">
        <v>125000</v>
      </c>
      <c r="F37" s="4" t="s">
        <v>5</v>
      </c>
      <c r="G37" s="22"/>
      <c r="H37" s="31">
        <v>1.1375999999999999</v>
      </c>
      <c r="I37" s="22"/>
      <c r="J37" s="6">
        <f>J22</f>
        <v>4692600</v>
      </c>
      <c r="K37" s="26">
        <f>SUM(K10:K11)</f>
        <v>0.65001700222165326</v>
      </c>
      <c r="L37" s="24">
        <f>SUM(J37:J39)/$B$6</f>
        <v>0.63150906046185373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673218</v>
      </c>
      <c r="E39" s="25"/>
      <c r="F39" s="11" t="s">
        <v>4</v>
      </c>
      <c r="G39" s="11"/>
      <c r="H39" s="11"/>
      <c r="I39" s="11"/>
      <c r="J39" s="29">
        <f>J24</f>
        <v>763735.98947225115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7.0696458812462601E-2</v>
      </c>
      <c r="L40" s="69">
        <f>(SUM(J40:J41))/$B$6</f>
        <v>8.50076172738123E-2</v>
      </c>
    </row>
    <row r="41" spans="1:12" ht="15" thickBot="1" x14ac:dyDescent="0.35">
      <c r="A41" s="11" t="s">
        <v>53</v>
      </c>
      <c r="B41" s="11"/>
      <c r="C41" s="11"/>
      <c r="D41" s="29">
        <v>544197.5</v>
      </c>
      <c r="E41" s="25"/>
      <c r="F41" s="11" t="s">
        <v>22</v>
      </c>
      <c r="G41" s="11"/>
      <c r="H41" s="11"/>
      <c r="I41" s="11"/>
      <c r="J41" s="29">
        <f>J26</f>
        <v>734478.96562428295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2468019.2249034657</v>
      </c>
      <c r="K42" s="71">
        <f>K27</f>
        <v>0.2792865389658834</v>
      </c>
      <c r="L42" s="71">
        <f>L27</f>
        <v>0.28564525808670538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8658834.1799999997</v>
      </c>
      <c r="K43" s="42">
        <f>SUM(K37:K42)</f>
        <v>0.99999999999999922</v>
      </c>
      <c r="L43" s="42">
        <f>SUM(L37:L42)</f>
        <v>1.0021619358223715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2025-05-27T12:13:50Z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