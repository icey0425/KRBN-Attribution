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8D54332-7D4E-4F03-BC69-81A117BFA339}" xr6:coauthVersionLast="47" xr6:coauthVersionMax="47" xr10:uidLastSave="{AADCE5BF-A0C1-43D9-8AE9-7F41799A706D}"/>
  <bookViews>
    <workbookView xWindow="30570" yWindow="3900" windowWidth="2212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<sst xmlns="http://schemas.openxmlformats.org/spreadsheetml/2006/main" count="91" uniqueCount="51">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</sst>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12223587.869999999</v>
      </c>
      <c r="J6" t="s">
        <v>27</v>
      </c>
    </row>
    <row r="7" spans="1:12" x14ac:dyDescent="0.3">
      <c r="J7" s="63">
        <f>(D25+D26)/B6</f>
        <v>0.94959893146332008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1.0609516736512652</v>
      </c>
      <c r="H10" s="54">
        <v>67.53</v>
      </c>
      <c r="I10" s="5"/>
      <c r="J10" s="10">
        <f>D10*E10*G10*H10</f>
        <v>6376499.9204286244</v>
      </c>
      <c r="K10" s="60">
        <v>0.53704055337254297</v>
      </c>
      <c r="L10" s="21">
        <f t="shared" ref="L10:L14" si="0">J10/$B$6</f>
        <v>0.52165534278837111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1.0609516736512652</v>
      </c>
      <c r="H11" s="54">
        <v>69.56</v>
      </c>
      <c r="I11" s="5"/>
      <c r="J11" s="10">
        <f t="shared" ref="J11:J12" si="1">D11*E11*G11*H11</f>
        <v>590398.387353456</v>
      </c>
      <c r="K11" s="60">
        <v>4.8251341613711099E-2</v>
      </c>
      <c r="L11" s="21">
        <f t="shared" si="0"/>
        <v>4.8299925818216911E-2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1.27635676724358</v>
      </c>
      <c r="H12" s="54">
        <v>38.46</v>
      </c>
      <c r="I12" s="5"/>
      <c r="J12" s="10">
        <f t="shared" si="1"/>
        <v>490886.8126818809</v>
      </c>
      <c r="K12" s="60">
        <v>4.3477802347444201E-2</v>
      </c>
      <c r="L12" s="21">
        <f t="shared" si="0"/>
        <v>4.0158979335899431E-2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37.26</v>
      </c>
      <c r="I13" s="5"/>
      <c r="J13" s="10">
        <f>D13*E13*H13</f>
        <v>3018060</v>
      </c>
      <c r="K13" s="60">
        <v>0.26198823701338297</v>
      </c>
      <c r="L13" s="21">
        <f t="shared" si="0"/>
        <v>0.24690459397826542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39.43</v>
      </c>
      <c r="I14" s="5"/>
      <c r="J14" s="10">
        <f>D14*E14*H14</f>
        <v>591450</v>
      </c>
      <c r="K14" s="60">
        <v>5.1857292598202598E-2</v>
      </c>
      <c r="L14" s="21">
        <f t="shared" si="0"/>
        <v>4.8385957240228851E-2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22.79</v>
      </c>
      <c r="I15" s="12"/>
      <c r="J15" s="14">
        <f>D15*E15*H15</f>
        <v>683700</v>
      </c>
      <c r="K15" s="61">
        <v>5.7384773054715302E-2</v>
      </c>
      <c r="L15" s="21">
        <f>J15/$B$6</f>
        <v>5.5932841263241974E-2</v>
      </c>
    </row>
    <row r="16" spans="1:12" ht="15" thickBot="1" x14ac:dyDescent="0.35">
      <c r="J16" s="35">
        <f>SUM(J10:J15)</f>
        <v>11750995.12046396</v>
      </c>
      <c r="K16" s="36">
        <f>SUM(K10:K15)</f>
        <v>0.99999999999999922</v>
      </c>
      <c r="L16" s="37">
        <f>SUM(L10:L15)</f>
        <v>0.96133764042422376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1.0627</v>
      </c>
      <c r="I21" s="23"/>
      <c r="J21" s="7">
        <f>D21*E21*H21</f>
        <v>6907550</v>
      </c>
      <c r="K21" s="27">
        <f>SUM(K10:K11)</f>
        <v>0.58529189498625411</v>
      </c>
      <c r="L21" s="25">
        <f>SUM(J21:J22)/$B$6</f>
        <v>0.56510004046790563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1.0609516736512652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1.27635676724358</v>
      </c>
      <c r="H23" s="41"/>
      <c r="I23" s="41"/>
      <c r="J23" s="43">
        <f>D23*G23</f>
        <v>0</v>
      </c>
      <c r="K23" s="44">
        <f>K12</f>
        <v>4.3477802347444201E-2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-6907550</v>
      </c>
      <c r="K24" s="29">
        <f>SUM(K13:K15)</f>
        <v>0.37123030266630086</v>
      </c>
      <c r="L24" s="25">
        <f>SUM(J24:J28)/$B$6</f>
        <v>0.43526465850979323</v>
      </c>
    </row>
    <row r="25" spans="1:13" x14ac:dyDescent="0.3">
      <c r="A25" s="6" t="s">
        <v>13</v>
      </c>
      <c r="B25" s="6"/>
      <c r="C25" s="6"/>
      <c r="D25" s="54">
        <v>2288277.5</v>
      </c>
      <c r="E25" s="24">
        <v>1</v>
      </c>
      <c r="F25" s="8" t="s">
        <v>5</v>
      </c>
      <c r="G25" s="8"/>
      <c r="H25" s="5"/>
      <c r="I25" s="5"/>
      <c r="J25" s="7">
        <f>D25</f>
        <v>2288277.5</v>
      </c>
      <c r="K25" s="5"/>
      <c r="L25" s="5"/>
    </row>
    <row r="26" spans="1:13" x14ac:dyDescent="0.3">
      <c r="A26" s="6" t="s">
        <v>14</v>
      </c>
      <c r="B26" s="6"/>
      <c r="C26" s="6"/>
      <c r="D26" s="54">
        <v>9319228.4800000004</v>
      </c>
      <c r="E26" s="24">
        <v>1</v>
      </c>
      <c r="F26" s="8" t="s">
        <v>5</v>
      </c>
      <c r="G26" s="8"/>
      <c r="H26" s="5"/>
      <c r="I26" s="5"/>
      <c r="J26" s="7">
        <f>D26</f>
        <v>9319228.4800000004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12228045.800000001</v>
      </c>
      <c r="K29" s="46">
        <f>SUM(K21:K28)</f>
        <v>0.99999999999999922</v>
      </c>
      <c r="L29" s="46">
        <f>SUM(L21:L28)</f>
        <v>1.0003646989776989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1.0627</v>
      </c>
      <c r="I34" s="23"/>
      <c r="J34" s="7">
        <f>J21</f>
        <v>6907550</v>
      </c>
      <c r="K34" s="27">
        <f>SUM(K10:K11)</f>
        <v>0.58529189498625411</v>
      </c>
      <c r="L34" s="25">
        <f>SUM(J34:J35)/$B$6</f>
        <v>0.56510004046790563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4.3477802347444201E-2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5320495.8000000007</v>
      </c>
      <c r="K37" s="67">
        <f>K24</f>
        <v>0.37123030266630086</v>
      </c>
      <c r="L37" s="67">
        <f>L24</f>
        <v>0.43526465850979323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12228045.800000001</v>
      </c>
      <c r="K38" s="46">
        <f>SUM(K34:K37)</f>
        <v>0.99999999999999922</v>
      </c>
      <c r="L38" s="46">
        <f>SUM(L34:L37)</f>
        <v>1.0003646989776989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2024-11-13T13:01:01Z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