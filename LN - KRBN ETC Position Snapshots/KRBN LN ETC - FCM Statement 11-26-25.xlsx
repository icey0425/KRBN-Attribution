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82F0B18-0D5F-4955-8AF7-CF6260A63BD5}" xr6:coauthVersionLast="47" xr6:coauthVersionMax="47" xr10:uidLastSave="{067A7761-CFF7-4B94-BE0E-0FF1D825F9D4}"/>
  <bookViews>
    <workbookView xWindow="29670" yWindow="4815" windowWidth="22125" windowHeight="979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<sst xmlns="http://schemas.openxmlformats.org/spreadsheetml/2006/main" count="103" uniqueCount="56">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</sst>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45987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9970186.4499999993</v>
      </c>
      <c r="J6" t="s">
        <v>25</v>
      </c>
    </row>
    <row r="7" spans="1:13" x14ac:dyDescent="0.3">
      <c r="J7" s="57">
        <f>(D28+D29)/B6</f>
        <v>0.98072264034741308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1.1590037204019425</v>
      </c>
      <c r="H10" s="49">
        <v>81.680000000000007</v>
      </c>
      <c r="I10" s="4"/>
      <c r="J10" s="9">
        <f>D10*E10*G10*H10</f>
        <v>5490710.5851809792</v>
      </c>
      <c r="K10" s="54">
        <v>0.55459613897365001</v>
      </c>
      <c r="L10" s="20">
        <f t="shared" ref="L10:L15" si="0">J10/$B$6</f>
        <v>0.55071292926332183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1.1590037204019425</v>
      </c>
      <c r="H11" s="49">
        <v>83.86</v>
      </c>
      <c r="I11" s="4"/>
      <c r="J11" s="9">
        <f t="shared" ref="J11:J12" si="1">D11*E11*G11*H11</f>
        <v>485970.25996453449</v>
      </c>
      <c r="K11" s="54">
        <v>5.0459159831791403E-2</v>
      </c>
      <c r="L11" s="20">
        <f t="shared" si="0"/>
        <v>4.874234422812971E-2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1.3227513227513228</v>
      </c>
      <c r="H12" s="49">
        <v>57.8</v>
      </c>
      <c r="I12" s="4"/>
      <c r="J12" s="9">
        <f t="shared" si="1"/>
        <v>458730.1587301587</v>
      </c>
      <c r="K12" s="54">
        <v>4.70837234152328E-2</v>
      </c>
      <c r="L12" s="20">
        <f t="shared" si="0"/>
        <v>4.6010188578786179E-2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29.95</v>
      </c>
      <c r="I13" s="4"/>
      <c r="J13" s="9">
        <f>D13*E13*H13</f>
        <v>1797000</v>
      </c>
      <c r="K13" s="54">
        <v>0.18987231965238699</v>
      </c>
      <c r="L13" s="20">
        <f t="shared" si="0"/>
        <v>0.18023735152916825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31.53</v>
      </c>
      <c r="I14" s="4"/>
      <c r="J14" s="9">
        <f>D14*E14*H14</f>
        <v>472950</v>
      </c>
      <c r="K14" s="54">
        <v>4.6850064257725699E-2</v>
      </c>
      <c r="L14" s="20">
        <f t="shared" ref="L14" si="2">J14/$B$6</f>
        <v>4.743642482232617E-2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28.64</v>
      </c>
      <c r="I15" s="4"/>
      <c r="J15" s="9">
        <f>D15*E15*H15</f>
        <v>601440</v>
      </c>
      <c r="K15" s="54">
        <v>6.0991745993163399E-2</v>
      </c>
      <c r="L15" s="20">
        <f t="shared" si="0"/>
        <v>6.0323846802283226E-2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69.5</v>
      </c>
      <c r="I16" s="11"/>
      <c r="J16" s="13">
        <f>D16*E16*H16</f>
        <v>486500</v>
      </c>
      <c r="K16" s="55">
        <v>5.0146847876048603E-2</v>
      </c>
      <c r="L16" s="20">
        <f>J16/$B$6</f>
        <v>4.8795476638252844E-2</v>
      </c>
    </row>
    <row r="17" spans="1:13" ht="15" thickBot="1" x14ac:dyDescent="0.35">
      <c r="J17" s="33">
        <f>SUM(J10:J16)</f>
        <v>9793301.0038756728</v>
      </c>
      <c r="K17" s="34">
        <f>SUM(K10:K16)</f>
        <v>0.99999999999999889</v>
      </c>
      <c r="L17" s="35">
        <f>SUM(L10:L16)</f>
        <v>0.98225856186226812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1.1606000000000001</v>
      </c>
      <c r="I22" s="22"/>
      <c r="J22" s="6">
        <f>D22*E22*H22</f>
        <v>4352250</v>
      </c>
      <c r="K22" s="26">
        <f>SUM(K10:K11)</f>
        <v>0.6050552988054414</v>
      </c>
      <c r="L22" s="24">
        <f>SUM(J22:J24)/$B$6</f>
        <v>0.5884423659863085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1.1590037204019425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1306838</v>
      </c>
      <c r="E24" s="25">
        <v>1</v>
      </c>
      <c r="F24" s="11" t="s">
        <v>4</v>
      </c>
      <c r="G24" s="61">
        <v>1.1590037204019425</v>
      </c>
      <c r="H24" s="11"/>
      <c r="I24" s="11"/>
      <c r="J24" s="13">
        <f>D24*G24</f>
        <v>1514630.1039626338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1.3227513227513228</v>
      </c>
      <c r="H25" s="7"/>
      <c r="I25" s="7"/>
      <c r="J25" s="9">
        <f>D25*G25</f>
        <v>0</v>
      </c>
      <c r="K25" s="69">
        <f>K12</f>
        <v>4.70837234152328E-2</v>
      </c>
      <c r="L25" s="69">
        <f>(SUM(J25:J26))/B6</f>
        <v>4.7016760956950114E-2</v>
      </c>
    </row>
    <row r="26" spans="1:13" ht="15" thickBot="1" x14ac:dyDescent="0.35">
      <c r="A26" s="64" t="s">
        <v>53</v>
      </c>
      <c r="B26" s="11"/>
      <c r="C26" s="11"/>
      <c r="D26" s="52">
        <v>354387</v>
      </c>
      <c r="E26" s="25">
        <v>1</v>
      </c>
      <c r="F26" s="11" t="s">
        <v>22</v>
      </c>
      <c r="G26" s="61">
        <v>1.3227513227513228</v>
      </c>
      <c r="H26" s="11"/>
      <c r="I26" s="11"/>
      <c r="J26" s="13">
        <f>D26*G26</f>
        <v>468765.87301587302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-4352250</v>
      </c>
      <c r="K27" s="65">
        <f>SUM(K13:K16)</f>
        <v>0.34786097777932468</v>
      </c>
      <c r="L27" s="20">
        <f>SUM(J27:J31)/$B$6</f>
        <v>0.36512202668200788</v>
      </c>
    </row>
    <row r="28" spans="1:13" x14ac:dyDescent="0.3">
      <c r="A28" s="5" t="s">
        <v>13</v>
      </c>
      <c r="B28" s="5"/>
      <c r="C28" s="5"/>
      <c r="D28" s="49">
        <v>1366179.5</v>
      </c>
      <c r="E28" s="23">
        <v>1</v>
      </c>
      <c r="F28" s="7" t="s">
        <v>5</v>
      </c>
      <c r="G28" s="7"/>
      <c r="H28" s="4"/>
      <c r="I28" s="4"/>
      <c r="J28" s="6">
        <f>D28</f>
        <v>1366179.5</v>
      </c>
      <c r="K28" s="4"/>
      <c r="L28" s="4"/>
    </row>
    <row r="29" spans="1:13" x14ac:dyDescent="0.3">
      <c r="A29" s="5" t="s">
        <v>14</v>
      </c>
      <c r="B29" s="5"/>
      <c r="C29" s="5"/>
      <c r="D29" s="49">
        <v>8411808.0800000001</v>
      </c>
      <c r="E29" s="23">
        <v>1</v>
      </c>
      <c r="F29" s="7" t="s">
        <v>5</v>
      </c>
      <c r="G29" s="7"/>
      <c r="H29" s="4"/>
      <c r="I29" s="4"/>
      <c r="J29" s="6">
        <f>D29-J26-J24</f>
        <v>6428412.1030214932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9975980.6600000001</v>
      </c>
      <c r="K32" s="42">
        <f>SUM(K22:K31)</f>
        <v>0.99999999999999889</v>
      </c>
      <c r="L32" s="42">
        <f>SUM(L22:L31)</f>
        <v>1.0005811536252665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1.1606000000000001</v>
      </c>
      <c r="I37" s="22"/>
      <c r="J37" s="6">
        <f>J22</f>
        <v>4352250</v>
      </c>
      <c r="K37" s="26">
        <f>SUM(K10:K11)</f>
        <v>0.6050552988054414</v>
      </c>
      <c r="L37" s="24">
        <f>SUM(J37:J39)/$B$6</f>
        <v>0.5884423659863085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1306838</v>
      </c>
      <c r="E39" s="25"/>
      <c r="F39" s="11" t="s">
        <v>4</v>
      </c>
      <c r="G39" s="11"/>
      <c r="H39" s="11"/>
      <c r="I39" s="11"/>
      <c r="J39" s="29">
        <f>J24</f>
        <v>1514630.1039626338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4.70837234152328E-2</v>
      </c>
      <c r="L40" s="69">
        <f>(SUM(J40:J41))/$B$6</f>
        <v>4.7016760956950114E-2</v>
      </c>
    </row>
    <row r="41" spans="1:12" ht="15" thickBot="1" x14ac:dyDescent="0.35">
      <c r="A41" s="11" t="s">
        <v>53</v>
      </c>
      <c r="B41" s="11"/>
      <c r="C41" s="11"/>
      <c r="D41" s="29">
        <v>354387</v>
      </c>
      <c r="E41" s="25"/>
      <c r="F41" s="11" t="s">
        <v>22</v>
      </c>
      <c r="G41" s="11"/>
      <c r="H41" s="11"/>
      <c r="I41" s="11"/>
      <c r="J41" s="29">
        <f>J26</f>
        <v>468765.87301587302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3640334.6830214933</v>
      </c>
      <c r="K42" s="71">
        <f>K27</f>
        <v>0.34786097777932468</v>
      </c>
      <c r="L42" s="71">
        <f>L27</f>
        <v>0.36512202668200788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9975980.6600000001</v>
      </c>
      <c r="K43" s="42">
        <f>SUM(K37:K42)</f>
        <v>0.99999999999999889</v>
      </c>
      <c r="L43" s="42">
        <f>SUM(L37:L42)</f>
        <v>1.0005811536252665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2025-11-28T12:41:08Z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