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715B681E-F77C-4FE6-B831-71AD535914B8}" xr6:coauthVersionLast="47" xr6:coauthVersionMax="47" xr10:uidLastSave="{E613D77F-509C-4C73-AC99-435599991C10}"/>
  <bookViews>
    <workbookView xWindow="29880" yWindow="4365" windowWidth="22035" windowHeight="9765" xr2:uid="{C2889EAE-1B00-4717-B291-92943FB680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40" i="1" l="1"/>
  <c r="K37" i="1"/>
  <c r="J31" i="1"/>
  <c r="J28" i="1"/>
  <c r="K27" i="1"/>
  <c r="K42" i="1" s="1"/>
  <c r="J26" i="1"/>
  <c r="J41" i="1" s="1"/>
  <c r="K25" i="1"/>
  <c r="J25" i="1"/>
  <c r="J24" i="1"/>
  <c r="J39" i="1" s="1"/>
  <c r="J23" i="1"/>
  <c r="J38" i="1" s="1"/>
  <c r="K22" i="1"/>
  <c r="J22" i="1"/>
  <c r="J37" i="1" s="1"/>
  <c r="K17" i="1"/>
  <c r="J16" i="1"/>
  <c r="L16" i="1" s="1"/>
  <c r="J15" i="1"/>
  <c r="L15" i="1" s="1"/>
  <c r="J14" i="1"/>
  <c r="L14" i="1" s="1"/>
  <c r="J13" i="1"/>
  <c r="L13" i="1" s="1"/>
  <c r="J12" i="1"/>
  <c r="L12" i="1" s="1"/>
  <c r="J11" i="1"/>
  <c r="L11" i="1" s="1"/>
  <c r="J10" i="1"/>
  <c r="J7" i="1"/>
  <c r="K32" i="1" l="1"/>
  <c r="J17" i="1"/>
  <c r="L25" i="1"/>
  <c r="J29" i="1"/>
  <c r="J40" i="1"/>
  <c r="L40" i="1" s="1"/>
  <c r="L10" i="1"/>
  <c r="L17" i="1" s="1"/>
  <c r="K43" i="1"/>
  <c r="L37" i="1"/>
  <c r="J27" i="1"/>
  <c r="L22" i="1"/>
  <c r="J32" i="1" l="1"/>
  <c r="J42" i="1"/>
  <c r="J43" i="1" s="1"/>
  <c r="L27" i="1"/>
  <c r="L42" i="1" s="1"/>
  <c r="L43" i="1" s="1"/>
  <c r="L32" i="1" l="1"/>
</calcChain>
</file>

<file path=xl/sharedStrings.xml><?xml version="1.0" encoding="utf-8"?>
<sst xmlns="http://schemas.openxmlformats.org/spreadsheetml/2006/main" count="103" uniqueCount="56">
  <si>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</si>
  <si>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</si>
  <si>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</si>
  <si>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</si>
  <si>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</si>
  <si>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</si>
  <si>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</si>
  <si>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</si>
  <si>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</si>
  <si>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</si>
  <si>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</si>
  <si>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</si>
  <si>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</si>
  <si>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</si>
  <si>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</si>
  <si>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</si>
  <si>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</si>
  <si>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</si>
  <si>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</si>
  <si>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</si>
  <si>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</si>
  <si>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</si>
  <si>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</si>
  <si>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</si>
  <si>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</si>
  <si>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</si>
  <si>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</si>
  <si>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EUA 25</t>
  </si>
  <si>
    <t>MOZ25 Comdty</t>
  </si>
  <si>
    <t>ICE ECX Emission  Dec25</t>
  </si>
  <si>
    <t>CCA 25</t>
  </si>
  <si>
    <t>BCYZ25 Comdty</t>
  </si>
  <si>
    <t>CA Carbon Allow V25 Dec25</t>
  </si>
  <si>
    <t>KRBN LN ETC FCM Statement</t>
  </si>
  <si>
    <t>TTS23073</t>
  </si>
  <si>
    <t>EUA 26</t>
  </si>
  <si>
    <t>MOZ26 Comdty</t>
  </si>
  <si>
    <t>ICE ECX Emission  Dec26</t>
  </si>
  <si>
    <t>UKA 25</t>
  </si>
  <si>
    <t>UKEZ5 Comdty</t>
  </si>
  <si>
    <t>UK Emission Allow Dec25</t>
  </si>
  <si>
    <t>CCA 26</t>
  </si>
  <si>
    <t>KBCZ26 Comdty</t>
  </si>
  <si>
    <t>CCA Vintage 2026  Dec26</t>
  </si>
  <si>
    <t>RGGI 25</t>
  </si>
  <si>
    <t>JELZ25 Comdty</t>
  </si>
  <si>
    <t>Reg GH Gas Vnt 25 Dec25</t>
  </si>
  <si>
    <t>WCA 25</t>
  </si>
  <si>
    <t>WKCZ25 Comdty</t>
  </si>
  <si>
    <t>Wsh Car All V2025 Dec25</t>
  </si>
  <si>
    <t>EUR Cash in BBH</t>
  </si>
  <si>
    <t>EURO in CFC</t>
  </si>
  <si>
    <t>GBP Cash in BBH</t>
  </si>
  <si>
    <t>GBP in CFC</t>
  </si>
  <si>
    <t>ECZ5 Curncy</t>
  </si>
  <si>
    <t>EURO FX CURR FUT  Dec25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</si>
</sst>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  <xf numFmtId="44" fontId="0" fillId="0" borderId="0" xfId="2" applyFon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3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3" ht="22.95" customHeight="1" x14ac:dyDescent="0.45">
      <c r="A1" s="32" t="s">
        <v>33</v>
      </c>
      <c r="B1" s="21"/>
      <c r="C1" s="21"/>
      <c r="D1" s="21"/>
      <c r="E1" s="21"/>
      <c r="J1" s="43"/>
      <c r="K1" s="44"/>
      <c r="L1" s="45"/>
    </row>
    <row r="2" spans="1:13" ht="23.1" customHeight="1" x14ac:dyDescent="0.3">
      <c r="A2" t="s">
        <v>34</v>
      </c>
      <c r="J2" s="43"/>
      <c r="K2" s="44"/>
      <c r="L2" s="45"/>
    </row>
    <row r="3" spans="1:13" x14ac:dyDescent="0.3">
      <c r="A3" t="s">
        <v>15</v>
      </c>
      <c r="B3" s="56">
        <v>45939</v>
      </c>
    </row>
    <row r="4" spans="1:13" x14ac:dyDescent="0.3">
      <c r="A4" t="s">
        <v>20</v>
      </c>
      <c r="B4">
        <v>0</v>
      </c>
    </row>
    <row r="5" spans="1:13" x14ac:dyDescent="0.3">
      <c r="A5" t="s">
        <v>21</v>
      </c>
      <c r="B5" s="74">
        <v>0</v>
      </c>
    </row>
    <row r="6" spans="1:13" x14ac:dyDescent="0.3">
      <c r="A6" s="2" t="s">
        <v>19</v>
      </c>
      <c r="B6" s="37">
        <v>9787439.5099999998</v>
      </c>
      <c r="J6" t="s">
        <v>25</v>
      </c>
    </row>
    <row r="7" spans="1:13" x14ac:dyDescent="0.3">
      <c r="J7" s="57">
        <f>(D28+D29)/B6</f>
        <v>0.97890363871071329</v>
      </c>
      <c r="K7" s="18"/>
    </row>
    <row r="8" spans="1:13" ht="15" thickBot="1" x14ac:dyDescent="0.35">
      <c r="A8" s="2" t="s">
        <v>26</v>
      </c>
    </row>
    <row r="9" spans="1:13" s="3" customFormat="1" ht="29.4" thickBot="1" x14ac:dyDescent="0.35">
      <c r="A9" s="15" t="s">
        <v>1</v>
      </c>
      <c r="B9" s="16" t="s">
        <v>7</v>
      </c>
      <c r="C9" s="16" t="s">
        <v>0</v>
      </c>
      <c r="D9" s="10" t="s">
        <v>18</v>
      </c>
      <c r="E9" s="10" t="s">
        <v>9</v>
      </c>
      <c r="F9" s="10" t="s">
        <v>3</v>
      </c>
      <c r="G9" s="10" t="s">
        <v>2</v>
      </c>
      <c r="H9" s="10" t="s">
        <v>6</v>
      </c>
      <c r="I9" s="17"/>
      <c r="J9" s="14" t="s">
        <v>17</v>
      </c>
      <c r="K9" s="19" t="s">
        <v>11</v>
      </c>
      <c r="L9" s="19" t="s">
        <v>10</v>
      </c>
    </row>
    <row r="10" spans="1:13" x14ac:dyDescent="0.3">
      <c r="A10" s="4" t="s">
        <v>27</v>
      </c>
      <c r="B10" s="5" t="s">
        <v>28</v>
      </c>
      <c r="C10" s="8" t="s">
        <v>29</v>
      </c>
      <c r="D10" s="48">
        <v>58</v>
      </c>
      <c r="E10" s="46">
        <v>1000</v>
      </c>
      <c r="F10" s="4" t="s">
        <v>4</v>
      </c>
      <c r="G10" s="62">
        <v>1.1581446522670682</v>
      </c>
      <c r="H10" s="49">
        <v>79.23</v>
      </c>
      <c r="I10" s="4"/>
      <c r="J10" s="9">
        <f>D10*E10*G10*H10</f>
        <v>5322068.4463489493</v>
      </c>
      <c r="K10" s="54">
        <v>0.54709763327802297</v>
      </c>
      <c r="L10" s="20">
        <f t="shared" ref="L10:L15" si="0">J10/$B$6</f>
        <v>0.54376514316244795</v>
      </c>
    </row>
    <row r="11" spans="1:13" x14ac:dyDescent="0.3">
      <c r="A11" s="4" t="s">
        <v>35</v>
      </c>
      <c r="B11" s="5" t="s">
        <v>36</v>
      </c>
      <c r="C11" s="8" t="s">
        <v>37</v>
      </c>
      <c r="D11" s="48">
        <v>5</v>
      </c>
      <c r="E11" s="46">
        <v>1000</v>
      </c>
      <c r="F11" s="4" t="s">
        <v>4</v>
      </c>
      <c r="G11" s="62">
        <v>1.1581446522670682</v>
      </c>
      <c r="H11" s="49">
        <v>81.290000000000006</v>
      </c>
      <c r="I11" s="4"/>
      <c r="J11" s="9">
        <f t="shared" ref="J11:J12" si="1">D11*E11*G11*H11</f>
        <v>470727.8939139499</v>
      </c>
      <c r="K11" s="54">
        <v>4.9743500983374801E-2</v>
      </c>
      <c r="L11" s="20">
        <f t="shared" si="0"/>
        <v>4.8095101219578308E-2</v>
      </c>
    </row>
    <row r="12" spans="1:13" x14ac:dyDescent="0.3">
      <c r="A12" s="4" t="s">
        <v>38</v>
      </c>
      <c r="B12" s="5" t="s">
        <v>39</v>
      </c>
      <c r="C12" s="8" t="s">
        <v>40</v>
      </c>
      <c r="D12" s="48">
        <v>6</v>
      </c>
      <c r="E12" s="46">
        <v>1000</v>
      </c>
      <c r="F12" s="4" t="s">
        <v>22</v>
      </c>
      <c r="G12" s="62">
        <v>1.3332444503699754</v>
      </c>
      <c r="H12" s="49">
        <v>55</v>
      </c>
      <c r="I12" s="4"/>
      <c r="J12" s="9">
        <f t="shared" si="1"/>
        <v>439970.66862209188</v>
      </c>
      <c r="K12" s="54">
        <v>4.5959168733589899E-2</v>
      </c>
      <c r="L12" s="20">
        <f t="shared" si="0"/>
        <v>4.4952581129371588E-2</v>
      </c>
    </row>
    <row r="13" spans="1:13" x14ac:dyDescent="0.3">
      <c r="A13" s="4" t="s">
        <v>30</v>
      </c>
      <c r="B13" s="5" t="s">
        <v>31</v>
      </c>
      <c r="C13" s="8" t="s">
        <v>32</v>
      </c>
      <c r="D13" s="48">
        <v>60</v>
      </c>
      <c r="E13" s="46">
        <v>1000</v>
      </c>
      <c r="F13" s="4" t="s">
        <v>5</v>
      </c>
      <c r="G13" s="47"/>
      <c r="H13" s="49">
        <v>32.299999999999997</v>
      </c>
      <c r="I13" s="4"/>
      <c r="J13" s="9">
        <f>D13*E13*H13</f>
        <v>1937999.9999999998</v>
      </c>
      <c r="K13" s="54">
        <v>0.20840111761153701</v>
      </c>
      <c r="L13" s="20">
        <f t="shared" si="0"/>
        <v>0.19800888659591825</v>
      </c>
    </row>
    <row r="14" spans="1:13" x14ac:dyDescent="0.3">
      <c r="A14" s="4" t="s">
        <v>41</v>
      </c>
      <c r="B14" s="5" t="s">
        <v>42</v>
      </c>
      <c r="C14" s="8" t="s">
        <v>43</v>
      </c>
      <c r="D14" s="48">
        <v>15</v>
      </c>
      <c r="E14" s="46">
        <v>1000</v>
      </c>
      <c r="F14" s="4" t="s">
        <v>5</v>
      </c>
      <c r="G14" s="47"/>
      <c r="H14" s="49">
        <v>34.049999999999997</v>
      </c>
      <c r="I14" s="4"/>
      <c r="J14" s="9">
        <f>D14*E14*H14</f>
        <v>510749.99999999994</v>
      </c>
      <c r="K14" s="54">
        <v>5.14915574831592E-2</v>
      </c>
      <c r="L14" s="20">
        <f t="shared" ref="L14" si="2">J14/$B$6</f>
        <v>5.2184230561849974E-2</v>
      </c>
      <c r="M14" s="18"/>
    </row>
    <row r="15" spans="1:13" x14ac:dyDescent="0.3">
      <c r="A15" s="4" t="s">
        <v>44</v>
      </c>
      <c r="B15" s="5" t="s">
        <v>45</v>
      </c>
      <c r="C15" s="8" t="s">
        <v>46</v>
      </c>
      <c r="D15" s="48">
        <v>21</v>
      </c>
      <c r="E15" s="46">
        <v>1000</v>
      </c>
      <c r="F15" s="4" t="s">
        <v>5</v>
      </c>
      <c r="G15" s="4"/>
      <c r="H15" s="49">
        <v>22.85</v>
      </c>
      <c r="I15" s="4"/>
      <c r="J15" s="9">
        <f>D15*E15*H15</f>
        <v>479850.00000000006</v>
      </c>
      <c r="K15" s="54">
        <v>4.9524140683034498E-2</v>
      </c>
      <c r="L15" s="20">
        <f t="shared" si="0"/>
        <v>4.9027122927271106E-2</v>
      </c>
    </row>
    <row r="16" spans="1:13" ht="15" thickBot="1" x14ac:dyDescent="0.35">
      <c r="A16" s="11" t="s">
        <v>47</v>
      </c>
      <c r="B16" s="12" t="s">
        <v>48</v>
      </c>
      <c r="C16" s="12" t="s">
        <v>49</v>
      </c>
      <c r="D16" s="50">
        <v>7</v>
      </c>
      <c r="E16" s="51">
        <v>1000</v>
      </c>
      <c r="F16" s="11" t="s">
        <v>5</v>
      </c>
      <c r="G16" s="11"/>
      <c r="H16" s="52">
        <v>65.069999999999993</v>
      </c>
      <c r="I16" s="11"/>
      <c r="J16" s="13">
        <f>D16*E16*H16</f>
        <v>455489.99999999994</v>
      </c>
      <c r="K16" s="55">
        <v>4.7782881227280798E-2</v>
      </c>
      <c r="L16" s="20">
        <f>J16/$B$6</f>
        <v>4.6538218656127353E-2</v>
      </c>
    </row>
    <row r="17" spans="1:13" ht="15" thickBot="1" x14ac:dyDescent="0.35">
      <c r="J17" s="33">
        <f>SUM(J10:J16)</f>
        <v>9616857.0088849906</v>
      </c>
      <c r="K17" s="34">
        <f>SUM(K10:K16)</f>
        <v>0.999999999999999</v>
      </c>
      <c r="L17" s="35">
        <f>SUM(L10:L16)</f>
        <v>0.98257128425256446</v>
      </c>
    </row>
    <row r="18" spans="1:13" x14ac:dyDescent="0.3">
      <c r="J18" s="18"/>
      <c r="K18" s="18"/>
    </row>
    <row r="19" spans="1:13" x14ac:dyDescent="0.3">
      <c r="J19" s="18"/>
      <c r="K19" s="18"/>
      <c r="L19" s="18"/>
    </row>
    <row r="20" spans="1:13" ht="15" thickBot="1" x14ac:dyDescent="0.35">
      <c r="A20" s="2" t="s">
        <v>12</v>
      </c>
    </row>
    <row r="21" spans="1:13" ht="29.4" thickBot="1" x14ac:dyDescent="0.35">
      <c r="A21" s="15"/>
      <c r="B21" s="16" t="s">
        <v>7</v>
      </c>
      <c r="C21" s="16" t="s">
        <v>0</v>
      </c>
      <c r="D21" s="10" t="s">
        <v>18</v>
      </c>
      <c r="E21" s="10" t="s">
        <v>9</v>
      </c>
      <c r="F21" s="10" t="s">
        <v>3</v>
      </c>
      <c r="G21" s="10"/>
      <c r="H21" s="10" t="s">
        <v>6</v>
      </c>
      <c r="I21" s="17"/>
      <c r="J21" s="14" t="s">
        <v>17</v>
      </c>
      <c r="K21" s="19" t="s">
        <v>11</v>
      </c>
      <c r="L21" s="19" t="s">
        <v>10</v>
      </c>
    </row>
    <row r="22" spans="1:13" x14ac:dyDescent="0.3">
      <c r="A22" s="4" t="s">
        <v>8</v>
      </c>
      <c r="B22" s="5" t="s">
        <v>54</v>
      </c>
      <c r="C22" s="5" t="s">
        <v>55</v>
      </c>
      <c r="D22" s="48">
        <v>30</v>
      </c>
      <c r="E22" s="46">
        <v>125000</v>
      </c>
      <c r="F22" s="4" t="s">
        <v>5</v>
      </c>
      <c r="G22" s="22"/>
      <c r="H22" s="53">
        <v>1.1587499999999999</v>
      </c>
      <c r="I22" s="22"/>
      <c r="J22" s="6">
        <f>D22*E22*H22</f>
        <v>4345312.5</v>
      </c>
      <c r="K22" s="26">
        <f>SUM(K10:K11)</f>
        <v>0.59684113426139773</v>
      </c>
      <c r="L22" s="24">
        <f>SUM(J22:J24)/$B$6</f>
        <v>0.58027080743721593</v>
      </c>
      <c r="M22" s="18"/>
    </row>
    <row r="23" spans="1:13" x14ac:dyDescent="0.3">
      <c r="A23" s="4" t="s">
        <v>50</v>
      </c>
      <c r="B23" s="5"/>
      <c r="C23" s="5"/>
      <c r="D23" s="49"/>
      <c r="E23" s="60">
        <v>1</v>
      </c>
      <c r="F23" s="4" t="s">
        <v>4</v>
      </c>
      <c r="G23" s="66">
        <v>1.1581446522670682</v>
      </c>
      <c r="H23" s="4"/>
      <c r="I23" s="4"/>
      <c r="J23" s="6">
        <f>D23*G23</f>
        <v>0</v>
      </c>
      <c r="K23" s="26"/>
      <c r="L23" s="24"/>
    </row>
    <row r="24" spans="1:13" ht="15" thickBot="1" x14ac:dyDescent="0.35">
      <c r="A24" s="64" t="s">
        <v>51</v>
      </c>
      <c r="B24" s="12"/>
      <c r="C24" s="12"/>
      <c r="D24" s="52">
        <v>1151888</v>
      </c>
      <c r="E24" s="25">
        <v>1</v>
      </c>
      <c r="F24" s="11" t="s">
        <v>4</v>
      </c>
      <c r="G24" s="61">
        <v>1.1581446522670682</v>
      </c>
      <c r="H24" s="11"/>
      <c r="I24" s="11"/>
      <c r="J24" s="13">
        <f>D24*G24</f>
        <v>1334052.9272106087</v>
      </c>
      <c r="K24" s="27"/>
      <c r="L24" s="28"/>
    </row>
    <row r="25" spans="1:13" x14ac:dyDescent="0.3">
      <c r="A25" s="7" t="s">
        <v>52</v>
      </c>
      <c r="B25" s="7"/>
      <c r="C25" s="7"/>
      <c r="D25" s="67"/>
      <c r="E25" s="23">
        <v>1</v>
      </c>
      <c r="F25" s="7" t="s">
        <v>22</v>
      </c>
      <c r="G25" s="68">
        <v>1.3332444503699754</v>
      </c>
      <c r="H25" s="7"/>
      <c r="I25" s="7"/>
      <c r="J25" s="9">
        <f>D25*G25</f>
        <v>0</v>
      </c>
      <c r="K25" s="69">
        <f>K12</f>
        <v>4.5959168733589899E-2</v>
      </c>
      <c r="L25" s="69">
        <f>(SUM(J25:J26))/B6</f>
        <v>4.5986081835518687E-2</v>
      </c>
    </row>
    <row r="26" spans="1:13" ht="15" thickBot="1" x14ac:dyDescent="0.35">
      <c r="A26" s="64" t="s">
        <v>53</v>
      </c>
      <c r="B26" s="11"/>
      <c r="C26" s="11"/>
      <c r="D26" s="52">
        <v>337587</v>
      </c>
      <c r="E26" s="25">
        <v>1</v>
      </c>
      <c r="F26" s="11" t="s">
        <v>22</v>
      </c>
      <c r="G26" s="61">
        <v>1.3332444503699754</v>
      </c>
      <c r="H26" s="11"/>
      <c r="I26" s="11"/>
      <c r="J26" s="13">
        <f>D26*G26</f>
        <v>450085.9942670489</v>
      </c>
      <c r="K26" s="27"/>
      <c r="L26" s="27"/>
    </row>
    <row r="27" spans="1:13" x14ac:dyDescent="0.3">
      <c r="A27" s="7" t="s">
        <v>8</v>
      </c>
      <c r="B27" s="8" t="s">
        <v>54</v>
      </c>
      <c r="C27" s="8" t="s">
        <v>55</v>
      </c>
      <c r="D27" s="46">
        <v>-30</v>
      </c>
      <c r="E27" s="23">
        <v>-125000</v>
      </c>
      <c r="F27" s="7" t="s">
        <v>5</v>
      </c>
      <c r="G27" s="7"/>
      <c r="H27" s="7"/>
      <c r="I27" s="7"/>
      <c r="J27" s="9">
        <f>-J22</f>
        <v>-4345312.5</v>
      </c>
      <c r="K27" s="65">
        <f>SUM(K13:K16)</f>
        <v>0.35719969700501153</v>
      </c>
      <c r="L27" s="20">
        <f>SUM(J27:J31)/$B$6</f>
        <v>0.37347750499888838</v>
      </c>
    </row>
    <row r="28" spans="1:13" x14ac:dyDescent="0.3">
      <c r="A28" s="5" t="s">
        <v>13</v>
      </c>
      <c r="B28" s="5"/>
      <c r="C28" s="5"/>
      <c r="D28" s="49">
        <v>1202238.6599999999</v>
      </c>
      <c r="E28" s="23">
        <v>1</v>
      </c>
      <c r="F28" s="7" t="s">
        <v>5</v>
      </c>
      <c r="G28" s="7"/>
      <c r="H28" s="4"/>
      <c r="I28" s="4"/>
      <c r="J28" s="6">
        <f>D28</f>
        <v>1202238.6599999999</v>
      </c>
      <c r="K28" s="4"/>
      <c r="L28" s="4"/>
    </row>
    <row r="29" spans="1:13" x14ac:dyDescent="0.3">
      <c r="A29" s="5" t="s">
        <v>14</v>
      </c>
      <c r="B29" s="5"/>
      <c r="C29" s="5"/>
      <c r="D29" s="49">
        <v>8378721.4900000002</v>
      </c>
      <c r="E29" s="23">
        <v>1</v>
      </c>
      <c r="F29" s="7" t="s">
        <v>5</v>
      </c>
      <c r="G29" s="7"/>
      <c r="H29" s="4"/>
      <c r="I29" s="4"/>
      <c r="J29" s="6">
        <f>D29-J26-J24</f>
        <v>6594582.5685223425</v>
      </c>
      <c r="K29" s="4"/>
      <c r="L29" s="4"/>
    </row>
    <row r="30" spans="1:13" x14ac:dyDescent="0.3">
      <c r="A30" s="38"/>
      <c r="B30" s="38"/>
      <c r="C30" s="38"/>
      <c r="D30" s="58"/>
      <c r="E30" s="60"/>
      <c r="F30" s="4"/>
      <c r="G30" s="4"/>
      <c r="H30" s="22"/>
      <c r="I30" s="22"/>
      <c r="J30" s="59"/>
      <c r="K30" s="22"/>
      <c r="L30" s="22"/>
    </row>
    <row r="31" spans="1:13" ht="15" thickBot="1" x14ac:dyDescent="0.35">
      <c r="A31" s="12" t="s">
        <v>23</v>
      </c>
      <c r="B31" s="12"/>
      <c r="C31" s="12"/>
      <c r="D31" s="30">
        <v>203879.76</v>
      </c>
      <c r="E31" s="25">
        <v>1</v>
      </c>
      <c r="F31" s="11" t="s">
        <v>5</v>
      </c>
      <c r="G31" s="11"/>
      <c r="H31" s="11"/>
      <c r="I31" s="11"/>
      <c r="J31" s="13">
        <f>D31</f>
        <v>203879.76</v>
      </c>
      <c r="K31" s="11"/>
      <c r="L31" s="11"/>
    </row>
    <row r="32" spans="1:13" ht="15" thickBot="1" x14ac:dyDescent="0.35">
      <c r="A32" s="1"/>
      <c r="B32" s="1"/>
      <c r="C32" s="1"/>
      <c r="D32" s="36"/>
      <c r="E32" s="1"/>
      <c r="J32" s="33">
        <f>SUM(J22:J31)</f>
        <v>9784839.9100000001</v>
      </c>
      <c r="K32" s="42">
        <f>SUM(K22:K31)</f>
        <v>0.99999999999999911</v>
      </c>
      <c r="L32" s="42">
        <f>SUM(L22:L31)</f>
        <v>0.99973439427162303</v>
      </c>
    </row>
    <row r="33" spans="1:12" x14ac:dyDescent="0.3">
      <c r="A33" s="1"/>
      <c r="B33" s="36"/>
      <c r="C33" s="1"/>
      <c r="D33" s="1"/>
      <c r="E33" s="1"/>
    </row>
    <row r="34" spans="1:12" x14ac:dyDescent="0.3">
      <c r="A34" s="1"/>
      <c r="B34" s="1"/>
      <c r="C34" s="1"/>
      <c r="D34" s="1"/>
      <c r="E34" s="1"/>
    </row>
    <row r="35" spans="1:12" ht="15" thickBot="1" x14ac:dyDescent="0.35">
      <c r="A35" s="2" t="s">
        <v>16</v>
      </c>
    </row>
    <row r="36" spans="1:12" ht="29.4" thickBot="1" x14ac:dyDescent="0.35">
      <c r="A36" s="15"/>
      <c r="B36" s="16" t="s">
        <v>7</v>
      </c>
      <c r="C36" s="16" t="s">
        <v>0</v>
      </c>
      <c r="D36" s="10" t="s">
        <v>18</v>
      </c>
      <c r="E36" s="10" t="s">
        <v>9</v>
      </c>
      <c r="F36" s="10" t="s">
        <v>3</v>
      </c>
      <c r="G36" s="10"/>
      <c r="H36" s="10" t="s">
        <v>6</v>
      </c>
      <c r="I36" s="17"/>
      <c r="J36" s="14" t="s">
        <v>17</v>
      </c>
      <c r="K36" s="19" t="s">
        <v>11</v>
      </c>
      <c r="L36" s="19" t="s">
        <v>10</v>
      </c>
    </row>
    <row r="37" spans="1:12" x14ac:dyDescent="0.3">
      <c r="A37" s="22" t="s">
        <v>8</v>
      </c>
      <c r="B37" s="38" t="s">
        <v>54</v>
      </c>
      <c r="C37" s="38" t="s">
        <v>55</v>
      </c>
      <c r="D37" s="23">
        <v>30</v>
      </c>
      <c r="E37" s="23">
        <v>125000</v>
      </c>
      <c r="F37" s="4" t="s">
        <v>5</v>
      </c>
      <c r="G37" s="22"/>
      <c r="H37" s="31">
        <v>1.1587499999999999</v>
      </c>
      <c r="I37" s="22"/>
      <c r="J37" s="6">
        <f>J22</f>
        <v>4345312.5</v>
      </c>
      <c r="K37" s="26">
        <f>SUM(K10:K11)</f>
        <v>0.59684113426139773</v>
      </c>
      <c r="L37" s="24">
        <f>SUM(J37:J39)/$B$6</f>
        <v>0.58027080743721593</v>
      </c>
    </row>
    <row r="38" spans="1:12" x14ac:dyDescent="0.3">
      <c r="A38" s="4" t="s">
        <v>50</v>
      </c>
      <c r="B38" s="4"/>
      <c r="C38" s="4"/>
      <c r="D38" s="72">
        <v>0</v>
      </c>
      <c r="E38" s="60"/>
      <c r="F38" s="4" t="s">
        <v>4</v>
      </c>
      <c r="G38" s="4"/>
      <c r="H38" s="4"/>
      <c r="I38" s="4"/>
      <c r="J38" s="72">
        <f>J23</f>
        <v>0</v>
      </c>
      <c r="K38" s="26"/>
      <c r="L38" s="24"/>
    </row>
    <row r="39" spans="1:12" ht="15" thickBot="1" x14ac:dyDescent="0.35">
      <c r="A39" s="11" t="s">
        <v>51</v>
      </c>
      <c r="B39" s="11"/>
      <c r="C39" s="11"/>
      <c r="D39" s="29">
        <v>1151888</v>
      </c>
      <c r="E39" s="25"/>
      <c r="F39" s="11" t="s">
        <v>4</v>
      </c>
      <c r="G39" s="11"/>
      <c r="H39" s="11"/>
      <c r="I39" s="11"/>
      <c r="J39" s="29">
        <f>J24</f>
        <v>1334052.9272106087</v>
      </c>
      <c r="K39" s="27"/>
      <c r="L39" s="28"/>
    </row>
    <row r="40" spans="1:12" x14ac:dyDescent="0.3">
      <c r="A40" s="7" t="s">
        <v>52</v>
      </c>
      <c r="B40" s="7"/>
      <c r="C40" s="7"/>
      <c r="D40" s="73">
        <v>0</v>
      </c>
      <c r="E40" s="23"/>
      <c r="F40" s="7" t="s">
        <v>22</v>
      </c>
      <c r="G40" s="7"/>
      <c r="H40" s="7"/>
      <c r="I40" s="7"/>
      <c r="J40" s="73">
        <f>J25</f>
        <v>0</v>
      </c>
      <c r="K40" s="69">
        <f>K12</f>
        <v>4.5959168733589899E-2</v>
      </c>
      <c r="L40" s="69">
        <f>(SUM(J40:J41))/$B$6</f>
        <v>4.5986081835518687E-2</v>
      </c>
    </row>
    <row r="41" spans="1:12" ht="15" thickBot="1" x14ac:dyDescent="0.35">
      <c r="A41" s="11" t="s">
        <v>53</v>
      </c>
      <c r="B41" s="11"/>
      <c r="C41" s="11"/>
      <c r="D41" s="29">
        <v>337587</v>
      </c>
      <c r="E41" s="25"/>
      <c r="F41" s="11" t="s">
        <v>22</v>
      </c>
      <c r="G41" s="11"/>
      <c r="H41" s="11"/>
      <c r="I41" s="11"/>
      <c r="J41" s="29">
        <f>J26</f>
        <v>450085.9942670489</v>
      </c>
      <c r="K41" s="27"/>
      <c r="L41" s="27"/>
    </row>
    <row r="42" spans="1:12" ht="15" thickBot="1" x14ac:dyDescent="0.35">
      <c r="A42" s="63" t="s">
        <v>24</v>
      </c>
      <c r="B42" s="63"/>
      <c r="C42" s="63"/>
      <c r="D42" s="70"/>
      <c r="E42" s="40"/>
      <c r="F42" s="39" t="s">
        <v>5</v>
      </c>
      <c r="G42" s="39"/>
      <c r="H42" s="39"/>
      <c r="I42" s="39"/>
      <c r="J42" s="41">
        <f>SUM(J27,J28,J29,J31)</f>
        <v>3655388.4885223424</v>
      </c>
      <c r="K42" s="71">
        <f>K27</f>
        <v>0.35719969700501153</v>
      </c>
      <c r="L42" s="71">
        <f>L27</f>
        <v>0.37347750499888838</v>
      </c>
    </row>
    <row r="43" spans="1:12" ht="15" thickBot="1" x14ac:dyDescent="0.35">
      <c r="A43" s="1"/>
      <c r="B43" s="1"/>
      <c r="C43" s="1"/>
      <c r="D43" s="1"/>
      <c r="E43" s="1"/>
      <c r="J43" s="33">
        <f>SUM(J37:J42)</f>
        <v>9784839.9100000001</v>
      </c>
      <c r="K43" s="42">
        <f>SUM(K37:K42)</f>
        <v>0.99999999999999911</v>
      </c>
      <c r="L43" s="42">
        <f>SUM(L37:L42)</f>
        <v>0.99973439427162303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customXml/itemProps2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2025-10-10T11:53:23Z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