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0" documentId="8_{F72BFFBC-5658-43B0-90EE-0C2E10370668}" xr6:coauthVersionLast="47" xr6:coauthVersionMax="47" xr10:uidLastSave="{00000000-0000-0000-0000-000000000000}"/>
  <bookViews>
    <workbookView xWindow="43545" yWindow="705" windowWidth="14070" windowHeight="1200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<sst xmlns="http://schemas.openxmlformats.org/spreadsheetml/2006/main" count="103" uniqueCount="56">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</sst>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5" x14ac:dyDescent="0.35"/>
  <cols>
    <col min="1" max="1" width="17.81640625" customWidth="1"/>
    <col min="2" max="2" width="21.453125" customWidth="1"/>
    <col min="3" max="3" width="33.54296875" bestFit="1" customWidth="1"/>
    <col min="4" max="4" width="17.1796875" customWidth="1"/>
    <col min="5" max="5" width="10.81640625" customWidth="1"/>
    <col min="6" max="6" width="7.1796875" customWidth="1"/>
    <col min="7" max="7" width="11.1796875" customWidth="1"/>
    <col min="8" max="8" width="12.1796875" customWidth="1"/>
    <col min="9" max="9" width="1.81640625" customWidth="1"/>
    <col min="10" max="10" width="24.453125" customWidth="1"/>
    <col min="11" max="11" width="17.1796875" customWidth="1"/>
    <col min="12" max="12" width="17.54296875" customWidth="1"/>
  </cols>
  <sheetData>
    <row r="1" spans="1:12" ht="23" customHeight="1" x14ac:dyDescent="0.55000000000000004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5" customHeight="1" x14ac:dyDescent="0.35">
      <c r="A2" t="s">
        <v>34</v>
      </c>
      <c r="J2" s="43"/>
      <c r="K2" s="44"/>
      <c r="L2" s="45"/>
    </row>
    <row r="3" spans="1:12" x14ac:dyDescent="0.35">
      <c r="A3" t="s">
        <v>15</v>
      </c>
      <c r="B3" s="56">
        <v>45749</v>
      </c>
    </row>
    <row r="4" spans="1:12" x14ac:dyDescent="0.35">
      <c r="A4" t="s">
        <v>20</v>
      </c>
      <c r="B4">
        <v>0</v>
      </c>
    </row>
    <row r="5" spans="1:12" x14ac:dyDescent="0.35">
      <c r="A5" t="s">
        <v>21</v>
      </c>
      <c r="B5">
        <v>0</v>
      </c>
    </row>
    <row r="6" spans="1:12" x14ac:dyDescent="0.35">
      <c r="A6" s="2" t="s">
        <v>19</v>
      </c>
      <c r="B6" s="37">
        <v>11540055.779999999</v>
      </c>
      <c r="J6" t="s">
        <v>25</v>
      </c>
    </row>
    <row r="7" spans="1:12" x14ac:dyDescent="0.35">
      <c r="J7" s="57">
        <f>(D28+D29)/B6</f>
        <v>0.95039616264315852</v>
      </c>
      <c r="K7" s="18"/>
    </row>
    <row r="8" spans="1:12" ht="15" thickBot="1" x14ac:dyDescent="0.4">
      <c r="A8" s="2" t="s">
        <v>26</v>
      </c>
    </row>
    <row r="9" spans="1:12" s="3" customFormat="1" ht="29.5" thickBot="1" x14ac:dyDescent="0.4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5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1.0856466654362671</v>
      </c>
      <c r="H10" s="49">
        <v>68.55</v>
      </c>
      <c r="I10" s="4"/>
      <c r="J10" s="9">
        <f>D10*E10*G10*H10</f>
        <v>6400212.7867464256</v>
      </c>
      <c r="K10" s="54">
        <v>0.56768749039352095</v>
      </c>
      <c r="L10" s="20">
        <f t="shared" ref="L10:L15" si="0">J10/$B$6</f>
        <v>0.55460847926217094</v>
      </c>
    </row>
    <row r="11" spans="1:12" x14ac:dyDescent="0.35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1.0856466654362671</v>
      </c>
      <c r="H11" s="49">
        <v>70.489999999999995</v>
      </c>
      <c r="I11" s="4"/>
      <c r="J11" s="9">
        <f t="shared" ref="J11:J12" si="1">D11*E11*G11*H11</f>
        <v>612217.8675728197</v>
      </c>
      <c r="K11" s="54">
        <v>5.15545412825811E-2</v>
      </c>
      <c r="L11" s="20">
        <f t="shared" si="0"/>
        <v>5.3051551850715556E-2</v>
      </c>
    </row>
    <row r="12" spans="1:12" x14ac:dyDescent="0.35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1.2965460014521315</v>
      </c>
      <c r="H12" s="49">
        <v>44.9</v>
      </c>
      <c r="I12" s="4"/>
      <c r="J12" s="9">
        <f t="shared" si="1"/>
        <v>698578.98558240838</v>
      </c>
      <c r="K12" s="54">
        <v>6.12919966468237E-2</v>
      </c>
      <c r="L12" s="20">
        <f t="shared" si="0"/>
        <v>6.053514808768181E-2</v>
      </c>
    </row>
    <row r="13" spans="1:12" x14ac:dyDescent="0.35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30.26</v>
      </c>
      <c r="I13" s="4"/>
      <c r="J13" s="9">
        <f>D13*E13*H13</f>
        <v>1906380</v>
      </c>
      <c r="K13" s="54">
        <v>0.17215328208432801</v>
      </c>
      <c r="L13" s="20">
        <f t="shared" si="0"/>
        <v>0.16519677515804868</v>
      </c>
    </row>
    <row r="14" spans="1:12" x14ac:dyDescent="0.35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32.200000000000003</v>
      </c>
      <c r="I14" s="4"/>
      <c r="J14" s="9">
        <f>D14*E14*H14</f>
        <v>515200.00000000006</v>
      </c>
      <c r="K14" s="54">
        <v>4.32367005022549E-2</v>
      </c>
      <c r="L14" s="20">
        <f t="shared" ref="L14" si="2">J14/$B$6</f>
        <v>4.4644498243491169E-2</v>
      </c>
    </row>
    <row r="15" spans="1:12" x14ac:dyDescent="0.35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23.9</v>
      </c>
      <c r="I15" s="4"/>
      <c r="J15" s="9">
        <f>D15*E15*H15</f>
        <v>573600</v>
      </c>
      <c r="K15" s="54">
        <v>5.2042645357659699E-2</v>
      </c>
      <c r="L15" s="20">
        <f t="shared" si="0"/>
        <v>4.9705132361153981E-2</v>
      </c>
    </row>
    <row r="16" spans="1:12" ht="15" thickBot="1" x14ac:dyDescent="0.4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60.47</v>
      </c>
      <c r="I16" s="11"/>
      <c r="J16" s="13">
        <f>D16*E16*H16</f>
        <v>604700</v>
      </c>
      <c r="K16" s="55">
        <v>5.20333437328305E-2</v>
      </c>
      <c r="L16" s="20">
        <f>J16/$B$6</f>
        <v>5.2400093338197021E-2</v>
      </c>
    </row>
    <row r="17" spans="1:13" ht="15" thickBot="1" x14ac:dyDescent="0.4">
      <c r="J17" s="33">
        <f>SUM(J10:J16)</f>
        <v>11310889.639901653</v>
      </c>
      <c r="K17" s="34">
        <f>SUM(K10:K16)</f>
        <v>0.99999999999999889</v>
      </c>
      <c r="L17" s="35">
        <f>SUM(L10:L16)</f>
        <v>0.98014167830145904</v>
      </c>
    </row>
    <row r="18" spans="1:13" x14ac:dyDescent="0.35">
      <c r="J18" s="18"/>
      <c r="K18" s="18"/>
    </row>
    <row r="19" spans="1:13" x14ac:dyDescent="0.35">
      <c r="J19" s="18"/>
      <c r="K19" s="18"/>
      <c r="L19" s="18"/>
    </row>
    <row r="20" spans="1:13" ht="15" thickBot="1" x14ac:dyDescent="0.4">
      <c r="A20" s="2" t="s">
        <v>12</v>
      </c>
    </row>
    <row r="21" spans="1:13" ht="29.5" thickBot="1" x14ac:dyDescent="0.4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5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1.09005</v>
      </c>
      <c r="I22" s="22"/>
      <c r="J22" s="6">
        <f>D22*E22*H22</f>
        <v>6812812.5</v>
      </c>
      <c r="K22" s="26">
        <f>SUM(K10:K11)</f>
        <v>0.61924203167610203</v>
      </c>
      <c r="L22" s="24">
        <f>SUM(J22:J24)/$B$6</f>
        <v>0.62529198812097619</v>
      </c>
      <c r="M22" s="18"/>
    </row>
    <row r="23" spans="1:13" x14ac:dyDescent="0.35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1.0856466654362671</v>
      </c>
      <c r="H23" s="4"/>
      <c r="I23" s="4"/>
      <c r="J23" s="6">
        <f>D23*G23</f>
        <v>0</v>
      </c>
      <c r="K23" s="26"/>
      <c r="L23" s="24"/>
    </row>
    <row r="24" spans="1:13" ht="15" thickBot="1" x14ac:dyDescent="0.4">
      <c r="A24" s="64" t="s">
        <v>51</v>
      </c>
      <c r="B24" s="12"/>
      <c r="C24" s="12"/>
      <c r="D24" s="52">
        <v>371292</v>
      </c>
      <c r="E24" s="25">
        <v>1</v>
      </c>
      <c r="F24" s="11" t="s">
        <v>4</v>
      </c>
      <c r="G24" s="61">
        <v>1.0856466654362671</v>
      </c>
      <c r="H24" s="11"/>
      <c r="I24" s="11"/>
      <c r="J24" s="13">
        <f>D24*G24</f>
        <v>403091.92170316249</v>
      </c>
      <c r="K24" s="27"/>
      <c r="L24" s="28"/>
    </row>
    <row r="25" spans="1:13" x14ac:dyDescent="0.35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1.2965460014521315</v>
      </c>
      <c r="H25" s="7"/>
      <c r="I25" s="7"/>
      <c r="J25" s="9">
        <f>D25*G25</f>
        <v>0</v>
      </c>
      <c r="K25" s="69">
        <f>K12</f>
        <v>6.12919966468237E-2</v>
      </c>
      <c r="L25" s="69">
        <f>(SUM(J25:J26))/B6</f>
        <v>5.2786019962396756E-2</v>
      </c>
    </row>
    <row r="26" spans="1:13" ht="15" thickBot="1" x14ac:dyDescent="0.4">
      <c r="A26" s="64" t="s">
        <v>53</v>
      </c>
      <c r="B26" s="11"/>
      <c r="C26" s="11"/>
      <c r="D26" s="52">
        <v>469828</v>
      </c>
      <c r="E26" s="25">
        <v>1</v>
      </c>
      <c r="F26" s="11" t="s">
        <v>22</v>
      </c>
      <c r="G26" s="61">
        <v>1.2965460014521315</v>
      </c>
      <c r="H26" s="11"/>
      <c r="I26" s="11"/>
      <c r="J26" s="13">
        <f>D26*G26</f>
        <v>609153.61477025202</v>
      </c>
      <c r="K26" s="27"/>
      <c r="L26" s="27"/>
    </row>
    <row r="27" spans="1:13" x14ac:dyDescent="0.35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-6812812.5</v>
      </c>
      <c r="K27" s="65">
        <f>SUM(K13:K16)</f>
        <v>0.31946597167707314</v>
      </c>
      <c r="L27" s="20">
        <f>SUM(J27:J31)/$B$6</f>
        <v>0.32427238870127761</v>
      </c>
    </row>
    <row r="28" spans="1:13" x14ac:dyDescent="0.35">
      <c r="A28" s="5" t="s">
        <v>13</v>
      </c>
      <c r="B28" s="5"/>
      <c r="C28" s="5"/>
      <c r="D28" s="49">
        <v>1815654.6</v>
      </c>
      <c r="E28" s="23">
        <v>1</v>
      </c>
      <c r="F28" s="7" t="s">
        <v>5</v>
      </c>
      <c r="G28" s="7"/>
      <c r="H28" s="4"/>
      <c r="I28" s="4"/>
      <c r="J28" s="6">
        <f>D28</f>
        <v>1815654.6</v>
      </c>
      <c r="K28" s="4"/>
      <c r="L28" s="4"/>
    </row>
    <row r="29" spans="1:13" x14ac:dyDescent="0.35">
      <c r="A29" s="5" t="s">
        <v>14</v>
      </c>
      <c r="B29" s="5"/>
      <c r="C29" s="5"/>
      <c r="D29" s="49">
        <v>9151970.1300000008</v>
      </c>
      <c r="E29" s="23">
        <v>1</v>
      </c>
      <c r="F29" s="7" t="s">
        <v>5</v>
      </c>
      <c r="G29" s="7"/>
      <c r="H29" s="4"/>
      <c r="I29" s="4"/>
      <c r="J29" s="6">
        <f>D29-J26-J24</f>
        <v>8139724.593526586</v>
      </c>
      <c r="K29" s="4"/>
      <c r="L29" s="4"/>
    </row>
    <row r="30" spans="1:13" x14ac:dyDescent="0.35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4">
      <c r="A31" s="12" t="s">
        <v>23</v>
      </c>
      <c r="B31" s="12"/>
      <c r="C31" s="12"/>
      <c r="D31" s="30">
        <v>599554.76</v>
      </c>
      <c r="E31" s="25">
        <v>1</v>
      </c>
      <c r="F31" s="11" t="s">
        <v>5</v>
      </c>
      <c r="G31" s="11"/>
      <c r="H31" s="11"/>
      <c r="I31" s="11"/>
      <c r="J31" s="13">
        <f>D31</f>
        <v>599554.76</v>
      </c>
      <c r="K31" s="11"/>
      <c r="L31" s="11"/>
    </row>
    <row r="32" spans="1:13" ht="15" thickBot="1" x14ac:dyDescent="0.4">
      <c r="A32" s="1"/>
      <c r="B32" s="1"/>
      <c r="C32" s="1"/>
      <c r="D32" s="36"/>
      <c r="E32" s="1"/>
      <c r="J32" s="33">
        <f>SUM(J22:J31)</f>
        <v>11567179.49</v>
      </c>
      <c r="K32" s="42">
        <f>SUM(K22:K31)</f>
        <v>0.99999999999999889</v>
      </c>
      <c r="L32" s="42">
        <f>SUM(L22:L31)</f>
        <v>1.0023503967846505</v>
      </c>
    </row>
    <row r="33" spans="1:12" x14ac:dyDescent="0.35">
      <c r="A33" s="1"/>
      <c r="B33" s="36"/>
      <c r="C33" s="1"/>
      <c r="D33" s="1"/>
      <c r="E33" s="1"/>
    </row>
    <row r="34" spans="1:12" x14ac:dyDescent="0.35">
      <c r="A34" s="1"/>
      <c r="B34" s="1"/>
      <c r="C34" s="1"/>
      <c r="D34" s="1"/>
      <c r="E34" s="1"/>
    </row>
    <row r="35" spans="1:12" ht="15" thickBot="1" x14ac:dyDescent="0.4">
      <c r="A35" s="2" t="s">
        <v>16</v>
      </c>
    </row>
    <row r="36" spans="1:12" ht="29.5" thickBot="1" x14ac:dyDescent="0.4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5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1.09005</v>
      </c>
      <c r="I37" s="22"/>
      <c r="J37" s="6">
        <f>J22</f>
        <v>6812812.5</v>
      </c>
      <c r="K37" s="26">
        <f>SUM(K10:K11)</f>
        <v>0.61924203167610203</v>
      </c>
      <c r="L37" s="24">
        <f>SUM(J37:J39)/$B$6</f>
        <v>0.62529198812097619</v>
      </c>
    </row>
    <row r="38" spans="1:12" x14ac:dyDescent="0.35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4">
      <c r="A39" s="11" t="s">
        <v>51</v>
      </c>
      <c r="B39" s="11"/>
      <c r="C39" s="11"/>
      <c r="D39" s="29">
        <v>371292</v>
      </c>
      <c r="E39" s="25"/>
      <c r="F39" s="11" t="s">
        <v>4</v>
      </c>
      <c r="G39" s="11"/>
      <c r="H39" s="11"/>
      <c r="I39" s="11"/>
      <c r="J39" s="29">
        <f>J24</f>
        <v>403091.92170316249</v>
      </c>
      <c r="K39" s="27"/>
      <c r="L39" s="28"/>
    </row>
    <row r="40" spans="1:12" x14ac:dyDescent="0.35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6.12919966468237E-2</v>
      </c>
      <c r="L40" s="69">
        <f>(SUM(J40:J41))/$B$6</f>
        <v>5.2786019962396756E-2</v>
      </c>
    </row>
    <row r="41" spans="1:12" ht="15" thickBot="1" x14ac:dyDescent="0.4">
      <c r="A41" s="11" t="s">
        <v>53</v>
      </c>
      <c r="B41" s="11"/>
      <c r="C41" s="11"/>
      <c r="D41" s="29">
        <v>469828</v>
      </c>
      <c r="E41" s="25"/>
      <c r="F41" s="11" t="s">
        <v>22</v>
      </c>
      <c r="G41" s="11"/>
      <c r="H41" s="11"/>
      <c r="I41" s="11"/>
      <c r="J41" s="29">
        <f>J26</f>
        <v>609153.61477025202</v>
      </c>
      <c r="K41" s="27"/>
      <c r="L41" s="27"/>
    </row>
    <row r="42" spans="1:12" ht="15" thickBot="1" x14ac:dyDescent="0.4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3742121.4535265854</v>
      </c>
      <c r="K42" s="71">
        <f>K27</f>
        <v>0.31946597167707314</v>
      </c>
      <c r="L42" s="71">
        <f>L27</f>
        <v>0.32427238870127761</v>
      </c>
    </row>
    <row r="43" spans="1:12" ht="15" thickBot="1" x14ac:dyDescent="0.4">
      <c r="A43" s="1"/>
      <c r="B43" s="1"/>
      <c r="C43" s="1"/>
      <c r="D43" s="1"/>
      <c r="E43" s="1"/>
      <c r="J43" s="33">
        <f>SUM(J37:J42)</f>
        <v>11567179.49</v>
      </c>
      <c r="K43" s="42">
        <f>SUM(K37:K42)</f>
        <v>0.99999999999999889</v>
      </c>
      <c r="L43" s="42">
        <f>SUM(L37:L42)</f>
        <v>1.0023503967846505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5" x14ac:dyDescent="0.35"/>
  <sheetData>
    <row r="1" spans="1:1" x14ac:dyDescent="0.35">
      <c r="A1">
        <v>0.53150512768211999</v>
      </c>
    </row>
    <row r="2" spans="1:1" x14ac:dyDescent="0.35">
      <c r="A2">
        <v>4.8348461509626003E-2</v>
      </c>
    </row>
    <row r="3" spans="1:1" x14ac:dyDescent="0.35">
      <c r="A3">
        <v>4.2458965153239901E-2</v>
      </c>
    </row>
    <row r="4" spans="1:1" x14ac:dyDescent="0.35">
      <c r="A4">
        <v>0.25831111340204599</v>
      </c>
    </row>
    <row r="5" spans="1:1" x14ac:dyDescent="0.35">
      <c r="A5">
        <v>5.16466174012679E-2</v>
      </c>
    </row>
    <row r="6" spans="1:1" x14ac:dyDescent="0.35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2025-04-03T17:41:19Z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