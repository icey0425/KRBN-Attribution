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3" documentId="8_{64E8C172-F50F-4CFB-B173-C143B10DAE02}" xr6:coauthVersionLast="47" xr6:coauthVersionMax="47" xr10:uidLastSave="{4E9ADEF6-FE68-4A5A-B372-014EEF478B33}"/>
  <bookViews>
    <workbookView xWindow="29880" yWindow="3555" windowWidth="2214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<sst xmlns="http://schemas.openxmlformats.org/spreadsheetml/2006/main" count="91" uniqueCount="51">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</sst>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45568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11677113.9</v>
      </c>
      <c r="J6" t="s">
        <v>27</v>
      </c>
    </row>
    <row r="7" spans="1:12" x14ac:dyDescent="0.3">
      <c r="J7" s="63">
        <f>(D25+D26)/B6</f>
        <v>0.94647980354118144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1.1017948237679178</v>
      </c>
      <c r="H10" s="54">
        <v>62.76</v>
      </c>
      <c r="I10" s="5"/>
      <c r="J10" s="10">
        <f>D10*E10*G10*H10</f>
        <v>6154229.2394310329</v>
      </c>
      <c r="K10" s="60">
        <v>0.537213357436928</v>
      </c>
      <c r="L10" s="21">
        <f t="shared" ref="L10:L14" si="0">J10/$B$6</f>
        <v>0.5270334170013562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1.1017948237679178</v>
      </c>
      <c r="H11" s="54">
        <v>64.709999999999994</v>
      </c>
      <c r="I11" s="5"/>
      <c r="J11" s="10">
        <f t="shared" ref="J11:J12" si="1">D11*E11*G11*H11</f>
        <v>570377.14436817565</v>
      </c>
      <c r="K11" s="60">
        <v>4.83141958488882E-2</v>
      </c>
      <c r="L11" s="21">
        <f t="shared" si="0"/>
        <v>4.8845729283172927E-2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1.3108565136460164</v>
      </c>
      <c r="H12" s="54">
        <v>36.65</v>
      </c>
      <c r="I12" s="5"/>
      <c r="J12" s="10">
        <f t="shared" si="1"/>
        <v>480428.91225126496</v>
      </c>
      <c r="K12" s="60">
        <v>4.4102294341920999E-2</v>
      </c>
      <c r="L12" s="21">
        <f t="shared" si="0"/>
        <v>4.1142778632249612E-2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36.67</v>
      </c>
      <c r="I13" s="5"/>
      <c r="J13" s="10">
        <f>D13*E13*H13</f>
        <v>2970270</v>
      </c>
      <c r="K13" s="60">
        <v>0.26723635320504702</v>
      </c>
      <c r="L13" s="21">
        <f t="shared" si="0"/>
        <v>0.25436679178062999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38.71</v>
      </c>
      <c r="I14" s="5"/>
      <c r="J14" s="10">
        <f>D14*E14*H14</f>
        <v>580650</v>
      </c>
      <c r="K14" s="60">
        <v>5.2765726020040399E-2</v>
      </c>
      <c r="L14" s="21">
        <f t="shared" si="0"/>
        <v>4.9725471976427321E-2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19.3</v>
      </c>
      <c r="I15" s="12"/>
      <c r="J15" s="14">
        <f>D15*E15*H15</f>
        <v>579000</v>
      </c>
      <c r="K15" s="61">
        <v>5.0368073147173897E-2</v>
      </c>
      <c r="L15" s="21">
        <f>J15/$B$6</f>
        <v>4.9584169937744629E-2</v>
      </c>
    </row>
    <row r="16" spans="1:12" ht="15" thickBot="1" x14ac:dyDescent="0.35">
      <c r="J16" s="35">
        <f>SUM(J10:J15)</f>
        <v>11334955.296050474</v>
      </c>
      <c r="K16" s="36">
        <f>SUM(K10:K15)</f>
        <v>0.99999999999999845</v>
      </c>
      <c r="L16" s="37">
        <f>SUM(L10:L15)</f>
        <v>0.97069835861158049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/>
      <c r="E21" s="51">
        <v>125000</v>
      </c>
      <c r="F21" s="5" t="s">
        <v>5</v>
      </c>
      <c r="G21" s="23"/>
      <c r="H21" s="58"/>
      <c r="I21" s="23"/>
      <c r="J21" s="7">
        <f>D21*E21*H21</f>
        <v>0</v>
      </c>
      <c r="K21" s="27">
        <f>SUM(K10:K11)</f>
        <v>0.58552755328581618</v>
      </c>
      <c r="L21" s="25">
        <f>SUM(J21:J22)/$B$6</f>
        <v>0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1.1017948237679178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1.3108565136460164</v>
      </c>
      <c r="H23" s="41"/>
      <c r="I23" s="41"/>
      <c r="J23" s="43">
        <f>D23*G23</f>
        <v>0</v>
      </c>
      <c r="K23" s="44">
        <f>K12</f>
        <v>4.4102294341920999E-2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0</v>
      </c>
      <c r="E24" s="24">
        <v>-125000</v>
      </c>
      <c r="F24" s="5" t="s">
        <v>5</v>
      </c>
      <c r="G24" s="8"/>
      <c r="H24" s="8"/>
      <c r="I24" s="8"/>
      <c r="J24" s="7">
        <f>-J21</f>
        <v>0</v>
      </c>
      <c r="K24" s="29">
        <f>SUM(K13:K15)</f>
        <v>0.37037015237226129</v>
      </c>
      <c r="L24" s="25">
        <f>SUM(J24:J28)/$B$6</f>
        <v>1.0000033030422011</v>
      </c>
    </row>
    <row r="25" spans="1:13" x14ac:dyDescent="0.3">
      <c r="A25" s="6" t="s">
        <v>13</v>
      </c>
      <c r="B25" s="6"/>
      <c r="C25" s="6"/>
      <c r="D25" s="54">
        <v>2046368.87</v>
      </c>
      <c r="E25" s="24">
        <v>1</v>
      </c>
      <c r="F25" s="8" t="s">
        <v>5</v>
      </c>
      <c r="G25" s="8"/>
      <c r="H25" s="5"/>
      <c r="I25" s="5"/>
      <c r="J25" s="7">
        <f>D25</f>
        <v>2046368.87</v>
      </c>
      <c r="K25" s="5"/>
      <c r="L25" s="5"/>
    </row>
    <row r="26" spans="1:13" x14ac:dyDescent="0.3">
      <c r="A26" s="6" t="s">
        <v>14</v>
      </c>
      <c r="B26" s="6"/>
      <c r="C26" s="6"/>
      <c r="D26" s="54">
        <v>9005783.5999999996</v>
      </c>
      <c r="E26" s="24">
        <v>1</v>
      </c>
      <c r="F26" s="8" t="s">
        <v>5</v>
      </c>
      <c r="G26" s="8"/>
      <c r="H26" s="5"/>
      <c r="I26" s="5"/>
      <c r="J26" s="7">
        <f>D26</f>
        <v>9005783.5999999996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625000</v>
      </c>
      <c r="E28" s="26">
        <v>1</v>
      </c>
      <c r="F28" s="12" t="s">
        <v>5</v>
      </c>
      <c r="G28" s="12"/>
      <c r="H28" s="12"/>
      <c r="I28" s="12"/>
      <c r="J28" s="14">
        <f>D28</f>
        <v>625000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11677152.469999999</v>
      </c>
      <c r="K29" s="46">
        <f>SUM(K21:K28)</f>
        <v>0.99999999999999845</v>
      </c>
      <c r="L29" s="46">
        <f>SUM(L21:L28)</f>
        <v>1.0000033030422011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0</v>
      </c>
      <c r="E34" s="24">
        <v>125000</v>
      </c>
      <c r="F34" s="5" t="s">
        <v>5</v>
      </c>
      <c r="G34" s="23"/>
      <c r="H34" s="33">
        <v>0</v>
      </c>
      <c r="I34" s="23"/>
      <c r="J34" s="7">
        <f>J21</f>
        <v>0</v>
      </c>
      <c r="K34" s="27">
        <f>SUM(K10:K11)</f>
        <v>0.58552755328581618</v>
      </c>
      <c r="L34" s="25">
        <f>SUM(J34:J35)/$B$6</f>
        <v>0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4.4102294341920999E-2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11677152.469999999</v>
      </c>
      <c r="K37" s="67">
        <f>K24</f>
        <v>0.37037015237226129</v>
      </c>
      <c r="L37" s="67">
        <f>L24</f>
        <v>1.0000033030422011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11677152.469999999</v>
      </c>
      <c r="K38" s="46">
        <f>SUM(K34:K37)</f>
        <v>0.99999999999999845</v>
      </c>
      <c r="L38" s="46">
        <f>SUM(L34:L37)</f>
        <v>1.0000033030422011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2024-10-04T11:49:54Z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