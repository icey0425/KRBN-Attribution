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Zheng\OneDrive - Krane Funds Advisors\Research_ongoing\KRBN Attribution\LN - KRBN ETC Position Snapshots\"/>
    </mc:Choice>
  </mc:AlternateContent>
  <xr:revisionPtr revIDLastSave="0" documentId="13_ncr:1_{EDB9BB0B-5F31-4302-B80B-EB2B52C60BAE}" xr6:coauthVersionLast="47" xr6:coauthVersionMax="47" xr10:uidLastSave="{00000000-0000-0000-0000-000000000000}"/>
  <bookViews>
    <workbookView xWindow="15072" yWindow="-16308" windowWidth="29016" windowHeight="15696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<sst xmlns="http://schemas.openxmlformats.org/spreadsheetml/2006/main" count="103" uniqueCount="56">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</sst>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10" fontId="0" fillId="7" borderId="0" xfId="3" applyNumberFormat="1" applyFont="1" applyFill="1"/>
    <xf numFmtId="43" fontId="10" fillId="0" borderId="1" xfId="1" applyFont="1" applyFill="1" applyBorder="1"/>
    <xf numFmtId="43" fontId="10" fillId="0" borderId="7" xfId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>
      <selection activeCell="M9" sqref="M9:M19"/>
    </sheetView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45756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>
        <v>0</v>
      </c>
    </row>
    <row r="6" spans="1:13" x14ac:dyDescent="0.3">
      <c r="A6" s="2" t="s">
        <v>19</v>
      </c>
      <c r="B6" s="37">
        <v>10377546.459999999</v>
      </c>
      <c r="J6" t="s">
        <v>25</v>
      </c>
    </row>
    <row r="7" spans="1:13" x14ac:dyDescent="0.3">
      <c r="J7" s="57">
        <f>(D28+D29)/B6</f>
        <v>0.94352477415938263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1.1038502296008479</v>
      </c>
      <c r="H10" s="49">
        <v>60.94</v>
      </c>
      <c r="I10" s="4"/>
      <c r="J10" s="9">
        <f>D10*E10*G10*H10</f>
        <v>5785102.437301307</v>
      </c>
      <c r="K10" s="54">
        <v>0.57048203072497405</v>
      </c>
      <c r="L10" s="20">
        <f t="shared" ref="L10:L15" si="0">J10/$B$6</f>
        <v>0.55746341002662281</v>
      </c>
      <c r="M10" s="57"/>
    </row>
    <row r="11" spans="1:13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1.1038502296008479</v>
      </c>
      <c r="H11" s="49">
        <v>62.54</v>
      </c>
      <c r="I11" s="4"/>
      <c r="J11" s="9">
        <f t="shared" ref="J11:J12" si="1">D11*E11*G11*H11</f>
        <v>552278.3468738962</v>
      </c>
      <c r="K11" s="54">
        <v>5.1705286364137702E-2</v>
      </c>
      <c r="L11" s="20">
        <f t="shared" si="0"/>
        <v>5.3218585819166379E-2</v>
      </c>
      <c r="M11" s="57"/>
    </row>
    <row r="12" spans="1:13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1.2756566442576316</v>
      </c>
      <c r="H12" s="49">
        <v>41.18</v>
      </c>
      <c r="I12" s="4"/>
      <c r="J12" s="9">
        <f t="shared" si="1"/>
        <v>630378.48732635123</v>
      </c>
      <c r="K12" s="54">
        <v>6.1489854225804899E-2</v>
      </c>
      <c r="L12" s="20">
        <f t="shared" si="0"/>
        <v>6.0744463034314501E-2</v>
      </c>
      <c r="M12" s="57"/>
    </row>
    <row r="13" spans="1:13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75">
        <v>27.36</v>
      </c>
      <c r="I13" s="4"/>
      <c r="J13" s="9">
        <f>D13*E13*H13</f>
        <v>1723680</v>
      </c>
      <c r="K13" s="54">
        <v>0.173053307981962</v>
      </c>
      <c r="L13" s="20">
        <f t="shared" si="0"/>
        <v>0.16609706414169118</v>
      </c>
      <c r="M13" s="57"/>
    </row>
    <row r="14" spans="1:13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75">
        <v>29.12</v>
      </c>
      <c r="I14" s="4"/>
      <c r="J14" s="9">
        <f>D14*E14*H14</f>
        <v>465920</v>
      </c>
      <c r="K14" s="54">
        <v>4.3471584746409997E-2</v>
      </c>
      <c r="L14" s="20">
        <f t="shared" ref="L14" si="2">J14/$B$6</f>
        <v>4.4896932217637117E-2</v>
      </c>
      <c r="M14" s="57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75">
        <v>18.600000000000001</v>
      </c>
      <c r="I15" s="4"/>
      <c r="J15" s="9">
        <f>D15*E15*H15</f>
        <v>446400.00000000006</v>
      </c>
      <c r="K15" s="54">
        <v>4.5028951685965601E-2</v>
      </c>
      <c r="L15" s="20">
        <f t="shared" si="0"/>
        <v>4.3015948106870733E-2</v>
      </c>
      <c r="M15" s="74"/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76">
        <v>57.25</v>
      </c>
      <c r="I16" s="11"/>
      <c r="J16" s="13">
        <f>D16*E16*H16</f>
        <v>572500</v>
      </c>
      <c r="K16" s="55">
        <v>5.4768984270744198E-2</v>
      </c>
      <c r="L16" s="20">
        <f>J16/$B$6</f>
        <v>5.5167182551934348E-2</v>
      </c>
      <c r="M16" s="57"/>
    </row>
    <row r="17" spans="1:13" ht="15" thickBot="1" x14ac:dyDescent="0.35">
      <c r="J17" s="33">
        <f>SUM(J10:J16)</f>
        <v>10176259.271501554</v>
      </c>
      <c r="K17" s="34">
        <f>SUM(K10:K16)</f>
        <v>0.99999999999999845</v>
      </c>
      <c r="L17" s="35">
        <f>SUM(L10:L16)</f>
        <v>0.98060358589823693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1.1006</v>
      </c>
      <c r="I22" s="22"/>
      <c r="J22" s="6">
        <f>D22*E22*H22</f>
        <v>6878750</v>
      </c>
      <c r="K22" s="26">
        <f>SUM(K10:K11)</f>
        <v>0.62218731708911179</v>
      </c>
      <c r="L22" s="24">
        <f>SUM(J22:J24)/$B$6</f>
        <v>0.69973475564842014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1.1038502296008479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346768</v>
      </c>
      <c r="E24" s="25">
        <v>1</v>
      </c>
      <c r="F24" s="11" t="s">
        <v>4</v>
      </c>
      <c r="G24" s="61">
        <v>1.1038502296008479</v>
      </c>
      <c r="H24" s="11"/>
      <c r="I24" s="11"/>
      <c r="J24" s="13">
        <f>D24*G24</f>
        <v>382779.9364182268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1.2756566442576316</v>
      </c>
      <c r="H25" s="7"/>
      <c r="I25" s="7"/>
      <c r="J25" s="9">
        <f>D25*G25</f>
        <v>0</v>
      </c>
      <c r="K25" s="69">
        <f>K12</f>
        <v>6.1489854225804899E-2</v>
      </c>
      <c r="L25" s="69">
        <f>(SUM(J25:J26))/B6</f>
        <v>5.2266101563530259E-2</v>
      </c>
    </row>
    <row r="26" spans="1:13" ht="15" thickBot="1" x14ac:dyDescent="0.35">
      <c r="A26" s="64" t="s">
        <v>53</v>
      </c>
      <c r="B26" s="11"/>
      <c r="C26" s="11"/>
      <c r="D26" s="52">
        <v>425188</v>
      </c>
      <c r="E26" s="25">
        <v>1</v>
      </c>
      <c r="F26" s="11" t="s">
        <v>22</v>
      </c>
      <c r="G26" s="61">
        <v>1.2756566442576316</v>
      </c>
      <c r="H26" s="11"/>
      <c r="I26" s="11"/>
      <c r="J26" s="13">
        <f>D26*G26</f>
        <v>542393.89725861384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-6878750</v>
      </c>
      <c r="K27" s="65">
        <f>SUM(K13:K16)</f>
        <v>0.31632282868508177</v>
      </c>
      <c r="L27" s="20">
        <f>SUM(J27:J31)/$B$6</f>
        <v>0.24855670039786637</v>
      </c>
    </row>
    <row r="28" spans="1:13" x14ac:dyDescent="0.3">
      <c r="A28" s="5" t="s">
        <v>13</v>
      </c>
      <c r="B28" s="5"/>
      <c r="C28" s="5"/>
      <c r="D28" s="49">
        <v>1843877.84</v>
      </c>
      <c r="E28" s="23">
        <v>1</v>
      </c>
      <c r="F28" s="7" t="s">
        <v>5</v>
      </c>
      <c r="G28" s="7"/>
      <c r="H28" s="4"/>
      <c r="I28" s="4"/>
      <c r="J28" s="6">
        <f>D28</f>
        <v>1843877.84</v>
      </c>
      <c r="K28" s="4"/>
      <c r="L28" s="4"/>
    </row>
    <row r="29" spans="1:13" x14ac:dyDescent="0.3">
      <c r="A29" s="5" t="s">
        <v>14</v>
      </c>
      <c r="B29" s="5"/>
      <c r="C29" s="5"/>
      <c r="D29" s="49">
        <v>7947594.3399999999</v>
      </c>
      <c r="E29" s="23">
        <v>1</v>
      </c>
      <c r="F29" s="7" t="s">
        <v>5</v>
      </c>
      <c r="G29" s="7"/>
      <c r="H29" s="4"/>
      <c r="I29" s="4"/>
      <c r="J29" s="6">
        <f>D29-J26-J24</f>
        <v>7022420.5063231587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10383332.539999999</v>
      </c>
      <c r="K32" s="42">
        <f>SUM(K22:K31)</f>
        <v>0.99999999999999845</v>
      </c>
      <c r="L32" s="42">
        <f>SUM(L22:L31)</f>
        <v>1.0005575576098167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1.1006</v>
      </c>
      <c r="I37" s="22"/>
      <c r="J37" s="6">
        <f>J22</f>
        <v>6878750</v>
      </c>
      <c r="K37" s="26">
        <f>SUM(K10:K11)</f>
        <v>0.62218731708911179</v>
      </c>
      <c r="L37" s="24">
        <f>SUM(J37:J39)/$B$6</f>
        <v>0.69973475564842014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346768</v>
      </c>
      <c r="E39" s="25"/>
      <c r="F39" s="11" t="s">
        <v>4</v>
      </c>
      <c r="G39" s="11"/>
      <c r="H39" s="11"/>
      <c r="I39" s="11"/>
      <c r="J39" s="29">
        <f>J24</f>
        <v>382779.9364182268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6.1489854225804899E-2</v>
      </c>
      <c r="L40" s="69">
        <f>(SUM(J40:J41))/$B$6</f>
        <v>5.2266101563530259E-2</v>
      </c>
    </row>
    <row r="41" spans="1:12" ht="15" thickBot="1" x14ac:dyDescent="0.35">
      <c r="A41" s="11" t="s">
        <v>53</v>
      </c>
      <c r="B41" s="11"/>
      <c r="C41" s="11"/>
      <c r="D41" s="29">
        <v>425188</v>
      </c>
      <c r="E41" s="25"/>
      <c r="F41" s="11" t="s">
        <v>22</v>
      </c>
      <c r="G41" s="11"/>
      <c r="H41" s="11"/>
      <c r="I41" s="11"/>
      <c r="J41" s="29">
        <f>J26</f>
        <v>542393.89725861384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2579408.7063231585</v>
      </c>
      <c r="K42" s="71">
        <f>K27</f>
        <v>0.31632282868508177</v>
      </c>
      <c r="L42" s="71">
        <f>L27</f>
        <v>0.24855670039786637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10383332.539999999</v>
      </c>
      <c r="K43" s="42">
        <f>SUM(K37:K42)</f>
        <v>0.99999999999999845</v>
      </c>
      <c r="L43" s="42">
        <f>SUM(L37:L42)</f>
        <v>1.0005575576098167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Robin Zheng</cp:lastModifiedBy>
  <cp:lastPrinted>2023-10-26T11:58:35Z</cp:lastPrinted>
  <dcterms:created xsi:type="dcterms:W3CDTF">2020-10-26T15:50:05Z</dcterms:created>
  <dcterms:modified xsi:type="dcterms:W3CDTF">2026-03-11T19:10:17Z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