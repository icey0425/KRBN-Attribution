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9311877-D43F-4E34-9122-3C887B38B55B}" xr6:coauthVersionLast="47" xr6:coauthVersionMax="47" xr10:uidLastSave="{86BEB21B-1E6E-4FE3-AFB4-BBBC3948BE64}"/>
  <bookViews>
    <workbookView xWindow="30525" yWindow="417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<sst xmlns="http://schemas.openxmlformats.org/spreadsheetml/2006/main" count="91" uniqueCount="51">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</sst>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12071388.710000001</v>
      </c>
      <c r="J6" t="s">
        <v>27</v>
      </c>
    </row>
    <row r="7" spans="1:12" x14ac:dyDescent="0.3">
      <c r="J7" s="63">
        <f>(D25+D26)/B6</f>
        <v>0.94894111234365186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1.0902034319604039</v>
      </c>
      <c r="H10" s="54">
        <v>64.3</v>
      </c>
      <c r="I10" s="5"/>
      <c r="J10" s="10">
        <f>D10*E10*G10*H10</f>
        <v>6238907.1800798029</v>
      </c>
      <c r="K10" s="60">
        <v>0.53378324671331701</v>
      </c>
      <c r="L10" s="21">
        <f t="shared" ref="L10:L14" si="0">J10/$B$6</f>
        <v>0.51683425411621942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1.0902034319604039</v>
      </c>
      <c r="H11" s="54">
        <v>66.36</v>
      </c>
      <c r="I11" s="5"/>
      <c r="J11" s="10">
        <f t="shared" ref="J11:J12" si="1">D11*E11*G11*H11</f>
        <v>578767.19795913924</v>
      </c>
      <c r="K11" s="60">
        <v>4.80507124480168E-2</v>
      </c>
      <c r="L11" s="21">
        <f t="shared" si="0"/>
        <v>4.7945369987107245E-2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1.3002548499505904</v>
      </c>
      <c r="H12" s="54">
        <v>38.340000000000003</v>
      </c>
      <c r="I12" s="5"/>
      <c r="J12" s="10">
        <f t="shared" si="1"/>
        <v>498517.70947105635</v>
      </c>
      <c r="K12" s="60">
        <v>4.4853864396653002E-2</v>
      </c>
      <c r="L12" s="21">
        <f t="shared" si="0"/>
        <v>4.1297461414533165E-2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37.22</v>
      </c>
      <c r="I13" s="5"/>
      <c r="J13" s="10">
        <f>D13*E13*H13</f>
        <v>3014820</v>
      </c>
      <c r="K13" s="60">
        <v>0.26585674557637901</v>
      </c>
      <c r="L13" s="21">
        <f t="shared" si="0"/>
        <v>0.24974922707132341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39.4</v>
      </c>
      <c r="I14" s="5"/>
      <c r="J14" s="10">
        <f>D14*E14*H14</f>
        <v>591000</v>
      </c>
      <c r="K14" s="60">
        <v>5.2639488105835297E-2</v>
      </c>
      <c r="L14" s="21">
        <f t="shared" si="0"/>
        <v>4.8958741549794724E-2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21.43</v>
      </c>
      <c r="I15" s="12"/>
      <c r="J15" s="14">
        <f>D15*E15*H15</f>
        <v>642900</v>
      </c>
      <c r="K15" s="61">
        <v>5.4815942759797898E-2</v>
      </c>
      <c r="L15" s="21">
        <f>J15/$B$6</f>
        <v>5.3258164031071115E-2</v>
      </c>
    </row>
    <row r="16" spans="1:12" ht="15" thickBot="1" x14ac:dyDescent="0.35">
      <c r="J16" s="35">
        <f>SUM(J10:J15)</f>
        <v>11564912.087509997</v>
      </c>
      <c r="K16" s="36">
        <f>SUM(K10:K15)</f>
        <v>0.99999999999999911</v>
      </c>
      <c r="L16" s="37">
        <f>SUM(L10:L15)</f>
        <v>0.95804321817004912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1.0949500000000001</v>
      </c>
      <c r="I21" s="23"/>
      <c r="J21" s="7">
        <f>D21*E21*H21</f>
        <v>7117175.0000000009</v>
      </c>
      <c r="K21" s="27">
        <f>SUM(K10:K11)</f>
        <v>0.58183395916133385</v>
      </c>
      <c r="L21" s="25">
        <f>SUM(J21:J22)/$B$6</f>
        <v>0.58959040844274169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1.0902034319604039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1.3002548499505904</v>
      </c>
      <c r="H23" s="41"/>
      <c r="I23" s="41"/>
      <c r="J23" s="43">
        <f>D23*G23</f>
        <v>0</v>
      </c>
      <c r="K23" s="44">
        <f>K12</f>
        <v>4.4853864396653002E-2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-7117175.0000000009</v>
      </c>
      <c r="K24" s="29">
        <f>SUM(K13:K15)</f>
        <v>0.3733121764420122</v>
      </c>
      <c r="L24" s="25">
        <f>SUM(J24:J28)/$B$6</f>
        <v>0.41134593204562619</v>
      </c>
    </row>
    <row r="25" spans="1:13" x14ac:dyDescent="0.3">
      <c r="A25" s="6" t="s">
        <v>13</v>
      </c>
      <c r="B25" s="6"/>
      <c r="C25" s="6"/>
      <c r="D25" s="54">
        <v>2332843.06</v>
      </c>
      <c r="E25" s="24">
        <v>1</v>
      </c>
      <c r="F25" s="8" t="s">
        <v>5</v>
      </c>
      <c r="G25" s="8"/>
      <c r="H25" s="5"/>
      <c r="I25" s="5"/>
      <c r="J25" s="7">
        <f>D25</f>
        <v>2332843.06</v>
      </c>
      <c r="K25" s="5"/>
      <c r="L25" s="5"/>
    </row>
    <row r="26" spans="1:13" x14ac:dyDescent="0.3">
      <c r="A26" s="6" t="s">
        <v>14</v>
      </c>
      <c r="B26" s="6"/>
      <c r="C26" s="6"/>
      <c r="D26" s="54">
        <v>9122193.9700000007</v>
      </c>
      <c r="E26" s="24">
        <v>1</v>
      </c>
      <c r="F26" s="8" t="s">
        <v>5</v>
      </c>
      <c r="G26" s="8"/>
      <c r="H26" s="5"/>
      <c r="I26" s="5"/>
      <c r="J26" s="7">
        <f>D26</f>
        <v>9122193.9700000007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627654.61</v>
      </c>
      <c r="E28" s="26">
        <v>1</v>
      </c>
      <c r="F28" s="12" t="s">
        <v>5</v>
      </c>
      <c r="G28" s="12"/>
      <c r="H28" s="12"/>
      <c r="I28" s="12"/>
      <c r="J28" s="14">
        <f>D28</f>
        <v>627654.61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12082691.640000001</v>
      </c>
      <c r="K29" s="46">
        <f>SUM(K21:K28)</f>
        <v>0.999999999999999</v>
      </c>
      <c r="L29" s="46">
        <f>SUM(L21:L28)</f>
        <v>1.000936340488368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1.0949500000000001</v>
      </c>
      <c r="I34" s="23"/>
      <c r="J34" s="7">
        <f>J21</f>
        <v>7117175.0000000009</v>
      </c>
      <c r="K34" s="27">
        <f>SUM(K10:K11)</f>
        <v>0.58183395916133385</v>
      </c>
      <c r="L34" s="25">
        <f>SUM(J34:J35)/$B$6</f>
        <v>0.58959040844274169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4.4853864396653002E-2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4965516.6399999997</v>
      </c>
      <c r="K37" s="67">
        <f>K24</f>
        <v>0.3733121764420122</v>
      </c>
      <c r="L37" s="67">
        <f>L24</f>
        <v>0.41134593204562619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12082691.640000001</v>
      </c>
      <c r="K38" s="46">
        <f>SUM(K34:K37)</f>
        <v>0.999999999999999</v>
      </c>
      <c r="L38" s="46">
        <f>SUM(L34:L37)</f>
        <v>1.000936340488368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2024-11-06T12:49:26Z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