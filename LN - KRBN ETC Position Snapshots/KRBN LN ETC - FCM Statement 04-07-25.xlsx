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robin_zheng_kraneshares_com/Documents/Research_ongoing/KRBN Attribution/LN - KRBN ETC Position Snapshots/"/>
    </mc:Choice>
  </mc:AlternateContent>
  <xr:revisionPtr revIDLastSave="2" documentId="8_{3E2B6D3C-9A21-4E7D-AEC5-C900B39C4755}" xr6:coauthVersionLast="47" xr6:coauthVersionMax="47" xr10:uidLastSave="{D600B745-BD70-4E43-AD7C-FC24D60543E0}"/>
  <bookViews>
    <workbookView xWindow="15072" yWindow="-16308" windowWidth="29016" windowHeight="15696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<sst xmlns="http://schemas.openxmlformats.org/spreadsheetml/2006/main" count="103" uniqueCount="56">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</sst>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45754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10867189.279999999</v>
      </c>
      <c r="J6" t="s">
        <v>25</v>
      </c>
    </row>
    <row r="7" spans="1:12" x14ac:dyDescent="0.3">
      <c r="J7" s="57">
        <f>(D28+D29)/B6</f>
        <v>0.9454322893693079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1.0922515673809992</v>
      </c>
      <c r="H10" s="49">
        <v>62.84</v>
      </c>
      <c r="I10" s="4"/>
      <c r="J10" s="9">
        <f>D10*E10*G10*H10</f>
        <v>5902789.6105030905</v>
      </c>
      <c r="K10" s="54">
        <v>0.55811314255327504</v>
      </c>
      <c r="L10" s="20">
        <f t="shared" ref="L10:L15" si="0">J10/$B$6</f>
        <v>0.54317537482912881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1.0922515673809992</v>
      </c>
      <c r="H11" s="49">
        <v>64.5</v>
      </c>
      <c r="I11" s="4"/>
      <c r="J11" s="9">
        <f t="shared" ref="J11:J12" si="1">D11*E11*G11*H11</f>
        <v>563601.80876859557</v>
      </c>
      <c r="K11" s="54">
        <v>5.0592173673909599E-2</v>
      </c>
      <c r="L11" s="20">
        <f t="shared" si="0"/>
        <v>5.1862702879929556E-2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1.275493935026339</v>
      </c>
      <c r="H12" s="49">
        <v>41.79</v>
      </c>
      <c r="I12" s="4"/>
      <c r="J12" s="9">
        <f t="shared" si="1"/>
        <v>639634.69853700849</v>
      </c>
      <c r="K12" s="54">
        <v>5.9823660626089598E-2</v>
      </c>
      <c r="L12" s="20">
        <f t="shared" si="0"/>
        <v>5.8859258089319716E-2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29.84</v>
      </c>
      <c r="I13" s="4"/>
      <c r="J13" s="9">
        <f>D13*E13*H13</f>
        <v>1879920</v>
      </c>
      <c r="K13" s="54">
        <v>0.18096608598943201</v>
      </c>
      <c r="L13" s="20">
        <f t="shared" si="0"/>
        <v>0.1729904533327499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31.67</v>
      </c>
      <c r="I14" s="4"/>
      <c r="J14" s="9">
        <f>D14*E14*H14</f>
        <v>506720</v>
      </c>
      <c r="K14" s="54">
        <v>4.5331149037009098E-2</v>
      </c>
      <c r="L14" s="20">
        <f t="shared" ref="L14" si="2">J14/$B$6</f>
        <v>4.6628432333700918E-2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21.6</v>
      </c>
      <c r="I15" s="4"/>
      <c r="J15" s="9">
        <f>D15*E15*H15</f>
        <v>518400.00000000006</v>
      </c>
      <c r="K15" s="54">
        <v>5.0138023027987498E-2</v>
      </c>
      <c r="L15" s="20">
        <f t="shared" si="0"/>
        <v>4.7703227269084623E-2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60</v>
      </c>
      <c r="I16" s="11"/>
      <c r="J16" s="13">
        <f>D16*E16*H16</f>
        <v>600000</v>
      </c>
      <c r="K16" s="55">
        <v>5.5035765092295498E-2</v>
      </c>
      <c r="L16" s="20">
        <f>J16/$B$6</f>
        <v>5.5212068598477569E-2</v>
      </c>
    </row>
    <row r="17" spans="1:13" ht="15" thickBot="1" x14ac:dyDescent="0.35">
      <c r="J17" s="33">
        <f>SUM(J10:J16)</f>
        <v>10611066.117808696</v>
      </c>
      <c r="K17" s="34">
        <f>SUM(K10:K16)</f>
        <v>0.99999999999999822</v>
      </c>
      <c r="L17" s="35">
        <f>SUM(L10:L16)</f>
        <v>0.97643151733239109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1.0988500000000001</v>
      </c>
      <c r="I22" s="22"/>
      <c r="J22" s="6">
        <f>D22*E22*H22</f>
        <v>6867812.5000000009</v>
      </c>
      <c r="K22" s="26">
        <f>SUM(K10:K11)</f>
        <v>0.6087053162271846</v>
      </c>
      <c r="L22" s="24">
        <f>SUM(J22:J24)/$B$6</f>
        <v>0.6488310637790774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1.0922515673809992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167688</v>
      </c>
      <c r="E24" s="25">
        <v>1</v>
      </c>
      <c r="F24" s="11" t="s">
        <v>4</v>
      </c>
      <c r="G24" s="61">
        <v>1.0922515673809992</v>
      </c>
      <c r="H24" s="11"/>
      <c r="I24" s="11"/>
      <c r="J24" s="13">
        <f>D24*G24</f>
        <v>183157.48083098498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1.275493935026339</v>
      </c>
      <c r="H25" s="7"/>
      <c r="I25" s="7"/>
      <c r="J25" s="9">
        <f>D25*G25</f>
        <v>0</v>
      </c>
      <c r="K25" s="69">
        <f>K12</f>
        <v>5.9823660626089598E-2</v>
      </c>
      <c r="L25" s="69">
        <f>(SUM(J25:J26))/B6</f>
        <v>5.0763938736730269E-2</v>
      </c>
    </row>
    <row r="26" spans="1:13" ht="15" thickBot="1" x14ac:dyDescent="0.35">
      <c r="A26" s="64" t="s">
        <v>53</v>
      </c>
      <c r="B26" s="11"/>
      <c r="C26" s="11"/>
      <c r="D26" s="52">
        <v>432508</v>
      </c>
      <c r="E26" s="25">
        <v>1</v>
      </c>
      <c r="F26" s="11" t="s">
        <v>22</v>
      </c>
      <c r="G26" s="61">
        <v>1.275493935026339</v>
      </c>
      <c r="H26" s="11"/>
      <c r="I26" s="11"/>
      <c r="J26" s="13">
        <f>D26*G26</f>
        <v>551661.33085037186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-6867812.5000000009</v>
      </c>
      <c r="K27" s="65">
        <f>SUM(K13:K16)</f>
        <v>0.33147102314672411</v>
      </c>
      <c r="L27" s="20">
        <f>SUM(J27:J31)/$B$6</f>
        <v>0.30030034484856627</v>
      </c>
    </row>
    <row r="28" spans="1:13" x14ac:dyDescent="0.3">
      <c r="A28" s="5" t="s">
        <v>13</v>
      </c>
      <c r="B28" s="5"/>
      <c r="C28" s="5"/>
      <c r="D28" s="49">
        <v>1839362</v>
      </c>
      <c r="E28" s="23">
        <v>1</v>
      </c>
      <c r="F28" s="7" t="s">
        <v>5</v>
      </c>
      <c r="G28" s="7"/>
      <c r="H28" s="4"/>
      <c r="I28" s="4"/>
      <c r="J28" s="6">
        <f>D28</f>
        <v>1839362</v>
      </c>
      <c r="K28" s="4"/>
      <c r="L28" s="4"/>
    </row>
    <row r="29" spans="1:13" x14ac:dyDescent="0.3">
      <c r="A29" s="5" t="s">
        <v>14</v>
      </c>
      <c r="B29" s="5"/>
      <c r="C29" s="5"/>
      <c r="D29" s="49">
        <v>8434829.6400000006</v>
      </c>
      <c r="E29" s="23">
        <v>1</v>
      </c>
      <c r="F29" s="7" t="s">
        <v>5</v>
      </c>
      <c r="G29" s="7"/>
      <c r="H29" s="4"/>
      <c r="I29" s="4"/>
      <c r="J29" s="6">
        <f>D29-J26-J24</f>
        <v>7700010.8283186434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10866052</v>
      </c>
      <c r="K32" s="42">
        <f>SUM(K22:K31)</f>
        <v>0.99999999999999822</v>
      </c>
      <c r="L32" s="42">
        <f>SUM(L22:L31)</f>
        <v>0.99989534736437391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1.0988500000000001</v>
      </c>
      <c r="I37" s="22"/>
      <c r="J37" s="6">
        <f>J22</f>
        <v>6867812.5000000009</v>
      </c>
      <c r="K37" s="26">
        <f>SUM(K10:K11)</f>
        <v>0.6087053162271846</v>
      </c>
      <c r="L37" s="24">
        <f>SUM(J37:J39)/$B$6</f>
        <v>0.6488310637790774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167688</v>
      </c>
      <c r="E39" s="25"/>
      <c r="F39" s="11" t="s">
        <v>4</v>
      </c>
      <c r="G39" s="11"/>
      <c r="H39" s="11"/>
      <c r="I39" s="11"/>
      <c r="J39" s="29">
        <f>J24</f>
        <v>183157.48083098498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5.9823660626089598E-2</v>
      </c>
      <c r="L40" s="69">
        <f>(SUM(J40:J41))/$B$6</f>
        <v>5.0763938736730269E-2</v>
      </c>
    </row>
    <row r="41" spans="1:12" ht="15" thickBot="1" x14ac:dyDescent="0.35">
      <c r="A41" s="11" t="s">
        <v>53</v>
      </c>
      <c r="B41" s="11"/>
      <c r="C41" s="11"/>
      <c r="D41" s="29">
        <v>432508</v>
      </c>
      <c r="E41" s="25"/>
      <c r="F41" s="11" t="s">
        <v>22</v>
      </c>
      <c r="G41" s="11"/>
      <c r="H41" s="11"/>
      <c r="I41" s="11"/>
      <c r="J41" s="29">
        <f>J26</f>
        <v>551661.33085037186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3263420.6883186423</v>
      </c>
      <c r="K42" s="71">
        <f>K27</f>
        <v>0.33147102314672411</v>
      </c>
      <c r="L42" s="71">
        <f>L27</f>
        <v>0.30030034484856627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10866052</v>
      </c>
      <c r="K43" s="42">
        <f>SUM(K37:K42)</f>
        <v>0.99999999999999822</v>
      </c>
      <c r="L43" s="42">
        <f>SUM(L37:L42)</f>
        <v>0.99989534736437391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Robin Zheng</cp:lastModifiedBy>
  <cp:lastPrinted>2023-10-26T11:58:35Z</cp:lastPrinted>
  <dcterms:created xsi:type="dcterms:W3CDTF">2020-10-26T15:50:05Z</dcterms:created>
  <dcterms:modified xsi:type="dcterms:W3CDTF">2026-03-11T19:06:00Z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