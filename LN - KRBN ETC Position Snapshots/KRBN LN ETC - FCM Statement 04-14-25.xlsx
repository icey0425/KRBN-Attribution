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2CC750A3-FA39-464B-A54D-363960073265}" xr6:coauthVersionLast="47" xr6:coauthVersionMax="47" xr10:uidLastSave="{6F1ED30E-3952-4907-B951-64C9BE6E8211}"/>
  <bookViews>
    <workbookView xWindow="29865" yWindow="4920" windowWidth="22245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<sst xmlns="http://schemas.openxmlformats.org/spreadsheetml/2006/main" count="103" uniqueCount="56">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</sst>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45761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11251106.010000002</v>
      </c>
      <c r="J6" t="s">
        <v>25</v>
      </c>
    </row>
    <row r="7" spans="1:12" x14ac:dyDescent="0.3">
      <c r="J7" s="57">
        <f>(D28+D29)/B6</f>
        <v>0.94753109254545176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1.1367511651699442</v>
      </c>
      <c r="H10" s="49">
        <v>66.510000000000005</v>
      </c>
      <c r="I10" s="4"/>
      <c r="J10" s="9">
        <f>D10*E10*G10*H10</f>
        <v>6502057.5196089577</v>
      </c>
      <c r="K10" s="54">
        <v>0.59229742622578396</v>
      </c>
      <c r="L10" s="20">
        <f t="shared" ref="L10:L15" si="0">J10/$B$6</f>
        <v>0.57790385352603724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1.1367511651699442</v>
      </c>
      <c r="H11" s="49">
        <v>68.28</v>
      </c>
      <c r="I11" s="4"/>
      <c r="J11" s="9">
        <f t="shared" ref="J11:J12" si="1">D11*E11*G11*H11</f>
        <v>620938.9564624303</v>
      </c>
      <c r="K11" s="54">
        <v>5.3701196405270699E-2</v>
      </c>
      <c r="L11" s="20">
        <f t="shared" si="0"/>
        <v>5.5189148152238431E-2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1.318704504694588</v>
      </c>
      <c r="H12" s="49">
        <v>47.02</v>
      </c>
      <c r="I12" s="4"/>
      <c r="J12" s="9">
        <f t="shared" si="1"/>
        <v>744065.82972887438</v>
      </c>
      <c r="K12" s="54">
        <v>6.7045972718736899E-2</v>
      </c>
      <c r="L12" s="20">
        <f t="shared" si="0"/>
        <v>6.6132683228435268E-2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26.7</v>
      </c>
      <c r="I13" s="4"/>
      <c r="J13" s="9">
        <f>D13*E13*H13</f>
        <v>1682100</v>
      </c>
      <c r="K13" s="54">
        <v>0.15600321584031199</v>
      </c>
      <c r="L13" s="20">
        <f t="shared" si="0"/>
        <v>0.14950530183476599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28.39</v>
      </c>
      <c r="I14" s="4"/>
      <c r="J14" s="9">
        <f>D14*E14*H14</f>
        <v>454240</v>
      </c>
      <c r="K14" s="54">
        <v>3.9150559388559603E-2</v>
      </c>
      <c r="L14" s="20">
        <f t="shared" ref="L14" si="2">J14/$B$6</f>
        <v>4.0372919746402773E-2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18.32</v>
      </c>
      <c r="I15" s="4"/>
      <c r="J15" s="9">
        <f>D15*E15*H15</f>
        <v>439680</v>
      </c>
      <c r="K15" s="54">
        <v>4.0969705170806503E-2</v>
      </c>
      <c r="L15" s="20">
        <f t="shared" si="0"/>
        <v>3.9078824749247912E-2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57.52</v>
      </c>
      <c r="I16" s="11"/>
      <c r="J16" s="13">
        <f>D16*E16*H16</f>
        <v>575200</v>
      </c>
      <c r="K16" s="55">
        <v>5.0831924250529202E-2</v>
      </c>
      <c r="L16" s="20">
        <f>J16/$B$6</f>
        <v>5.1123862799689321E-2</v>
      </c>
    </row>
    <row r="17" spans="1:13" ht="15" thickBot="1" x14ac:dyDescent="0.35">
      <c r="J17" s="33">
        <f>SUM(J10:J16)</f>
        <v>11018282.305800263</v>
      </c>
      <c r="K17" s="34">
        <f>SUM(K10:K16)</f>
        <v>0.99999999999999878</v>
      </c>
      <c r="L17" s="35">
        <f>SUM(L10:L16)</f>
        <v>0.97930659403681686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46</v>
      </c>
      <c r="E22" s="46">
        <v>125000</v>
      </c>
      <c r="F22" s="4" t="s">
        <v>5</v>
      </c>
      <c r="G22" s="22"/>
      <c r="H22" s="53">
        <v>1.1396999999999999</v>
      </c>
      <c r="I22" s="22"/>
      <c r="J22" s="6">
        <f>D22*E22*H22</f>
        <v>6553275</v>
      </c>
      <c r="K22" s="26">
        <f>SUM(K10:K11)</f>
        <v>0.64599862263105468</v>
      </c>
      <c r="L22" s="24">
        <f>SUM(J22:J24)/$B$6</f>
        <v>0.60045761035369161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1.1367511651699442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178172</v>
      </c>
      <c r="E24" s="25">
        <v>1</v>
      </c>
      <c r="F24" s="11" t="s">
        <v>4</v>
      </c>
      <c r="G24" s="61">
        <v>1.1367511651699442</v>
      </c>
      <c r="H24" s="11"/>
      <c r="I24" s="11"/>
      <c r="J24" s="13">
        <f>D24*G24</f>
        <v>202537.22860065929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1.318704504694588</v>
      </c>
      <c r="H25" s="7"/>
      <c r="I25" s="7"/>
      <c r="J25" s="9">
        <f>D25*G25</f>
        <v>0</v>
      </c>
      <c r="K25" s="69">
        <f>K12</f>
        <v>6.7045972718736899E-2</v>
      </c>
      <c r="L25" s="69">
        <f>(SUM(J25:J26))/B6</f>
        <v>5.8048705793954124E-2</v>
      </c>
    </row>
    <row r="26" spans="1:13" ht="15" thickBot="1" x14ac:dyDescent="0.35">
      <c r="A26" s="64" t="s">
        <v>53</v>
      </c>
      <c r="B26" s="11"/>
      <c r="C26" s="11"/>
      <c r="D26" s="52">
        <v>495268</v>
      </c>
      <c r="E26" s="25">
        <v>1</v>
      </c>
      <c r="F26" s="11" t="s">
        <v>22</v>
      </c>
      <c r="G26" s="61">
        <v>1.318704504694588</v>
      </c>
      <c r="H26" s="11"/>
      <c r="I26" s="11"/>
      <c r="J26" s="13">
        <f>D26*G26</f>
        <v>653112.14263107919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-46</v>
      </c>
      <c r="E27" s="23">
        <v>-125000</v>
      </c>
      <c r="F27" s="7" t="s">
        <v>5</v>
      </c>
      <c r="G27" s="7"/>
      <c r="H27" s="7"/>
      <c r="I27" s="7"/>
      <c r="J27" s="9">
        <f>-J22</f>
        <v>-6553275</v>
      </c>
      <c r="K27" s="65">
        <f>SUM(K13:K16)</f>
        <v>0.2869554046502073</v>
      </c>
      <c r="L27" s="20">
        <f>SUM(J27:J31)/$B$6</f>
        <v>0.34162941450840184</v>
      </c>
    </row>
    <row r="28" spans="1:13" x14ac:dyDescent="0.3">
      <c r="A28" s="5" t="s">
        <v>13</v>
      </c>
      <c r="B28" s="5"/>
      <c r="C28" s="5"/>
      <c r="D28" s="49">
        <v>1904076.86</v>
      </c>
      <c r="E28" s="23">
        <v>1</v>
      </c>
      <c r="F28" s="7" t="s">
        <v>5</v>
      </c>
      <c r="G28" s="7"/>
      <c r="H28" s="4"/>
      <c r="I28" s="4"/>
      <c r="J28" s="6">
        <f>D28</f>
        <v>1904076.86</v>
      </c>
      <c r="K28" s="4"/>
      <c r="L28" s="4"/>
    </row>
    <row r="29" spans="1:13" x14ac:dyDescent="0.3">
      <c r="A29" s="5" t="s">
        <v>14</v>
      </c>
      <c r="B29" s="5"/>
      <c r="C29" s="5"/>
      <c r="D29" s="49">
        <v>8756695.9100000001</v>
      </c>
      <c r="E29" s="23">
        <v>1</v>
      </c>
      <c r="F29" s="7" t="s">
        <v>5</v>
      </c>
      <c r="G29" s="7"/>
      <c r="H29" s="4"/>
      <c r="I29" s="4"/>
      <c r="J29" s="6">
        <f>D29-J26-J24</f>
        <v>7901046.5387682617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591860.36</v>
      </c>
      <c r="E31" s="25">
        <v>1</v>
      </c>
      <c r="F31" s="11" t="s">
        <v>5</v>
      </c>
      <c r="G31" s="11"/>
      <c r="H31" s="11"/>
      <c r="I31" s="11"/>
      <c r="J31" s="13">
        <f>D31</f>
        <v>591860.36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11252633.129999999</v>
      </c>
      <c r="K32" s="42">
        <f>SUM(K22:K31)</f>
        <v>0.99999999999999889</v>
      </c>
      <c r="L32" s="42">
        <f>SUM(L22:L31)</f>
        <v>1.0001357306560477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46</v>
      </c>
      <c r="E37" s="23">
        <v>125000</v>
      </c>
      <c r="F37" s="4" t="s">
        <v>5</v>
      </c>
      <c r="G37" s="22"/>
      <c r="H37" s="31">
        <v>1.1396999999999999</v>
      </c>
      <c r="I37" s="22"/>
      <c r="J37" s="6">
        <f>J22</f>
        <v>6553275</v>
      </c>
      <c r="K37" s="26">
        <f>SUM(K10:K11)</f>
        <v>0.64599862263105468</v>
      </c>
      <c r="L37" s="24">
        <f>SUM(J37:J39)/$B$6</f>
        <v>0.60045761035369161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178172</v>
      </c>
      <c r="E39" s="25"/>
      <c r="F39" s="11" t="s">
        <v>4</v>
      </c>
      <c r="G39" s="11"/>
      <c r="H39" s="11"/>
      <c r="I39" s="11"/>
      <c r="J39" s="29">
        <f>J24</f>
        <v>202537.22860065929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6.7045972718736899E-2</v>
      </c>
      <c r="L40" s="69">
        <f>(SUM(J40:J41))/$B$6</f>
        <v>5.8048705793954124E-2</v>
      </c>
    </row>
    <row r="41" spans="1:12" ht="15" thickBot="1" x14ac:dyDescent="0.35">
      <c r="A41" s="11" t="s">
        <v>53</v>
      </c>
      <c r="B41" s="11"/>
      <c r="C41" s="11"/>
      <c r="D41" s="29">
        <v>495268</v>
      </c>
      <c r="E41" s="25"/>
      <c r="F41" s="11" t="s">
        <v>22</v>
      </c>
      <c r="G41" s="11"/>
      <c r="H41" s="11"/>
      <c r="I41" s="11"/>
      <c r="J41" s="29">
        <f>J26</f>
        <v>653112.14263107919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3843708.7587682619</v>
      </c>
      <c r="K42" s="71">
        <f>K27</f>
        <v>0.2869554046502073</v>
      </c>
      <c r="L42" s="71">
        <f>L27</f>
        <v>0.34162941450840184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11252633.130000001</v>
      </c>
      <c r="K43" s="42">
        <f>SUM(K37:K42)</f>
        <v>0.99999999999999889</v>
      </c>
      <c r="L43" s="42">
        <f>SUM(L37:L42)</f>
        <v>1.0001357306560477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2025-04-15T13:16:56Z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