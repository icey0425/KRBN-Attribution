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3714DA1-B1FF-4D14-B17B-E647FC2CADE0}" xr6:coauthVersionLast="47" xr6:coauthVersionMax="47" xr10:uidLastSave="{C5AD85DB-90B5-4904-8F35-CB25FFA3A624}"/>
  <bookViews>
    <workbookView xWindow="30225" yWindow="4845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<sst xmlns="http://schemas.openxmlformats.org/spreadsheetml/2006/main" count="91" uniqueCount="51">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</sst>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45595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12120700.810000001</v>
      </c>
      <c r="J6" t="s">
        <v>27</v>
      </c>
    </row>
    <row r="7" spans="1:12" x14ac:dyDescent="0.3">
      <c r="J7" s="63">
        <f>(D25+D26)/B6</f>
        <v>0.94886913556279739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1.0863543035925736</v>
      </c>
      <c r="H10" s="54">
        <v>65.47</v>
      </c>
      <c r="I10" s="5"/>
      <c r="J10" s="10">
        <f>D10*E10*G10*H10</f>
        <v>6330001.8468023147</v>
      </c>
      <c r="K10" s="60">
        <v>0.53762069639827004</v>
      </c>
      <c r="L10" s="21">
        <f t="shared" ref="L10:L14" si="0">J10/$B$6</f>
        <v>0.52224718240547963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1.0863543035925736</v>
      </c>
      <c r="H11" s="54">
        <v>67.459999999999994</v>
      </c>
      <c r="I11" s="5"/>
      <c r="J11" s="10">
        <f t="shared" ref="J11:J12" si="1">D11*E11*G11*H11</f>
        <v>586283.69056284009</v>
      </c>
      <c r="K11" s="60">
        <v>4.8319169710512401E-2</v>
      </c>
      <c r="L11" s="21">
        <f t="shared" si="0"/>
        <v>4.8370444890375945E-2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1.3009483913773141</v>
      </c>
      <c r="H12" s="54">
        <v>37.369999999999997</v>
      </c>
      <c r="I12" s="5"/>
      <c r="J12" s="10">
        <f t="shared" si="1"/>
        <v>486164.41385770228</v>
      </c>
      <c r="K12" s="60">
        <v>4.3423085448118702E-2</v>
      </c>
      <c r="L12" s="21">
        <f t="shared" si="0"/>
        <v>4.0110256121213696E-2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37.380000000000003</v>
      </c>
      <c r="I13" s="5"/>
      <c r="J13" s="10">
        <f>D13*E13*H13</f>
        <v>3027780</v>
      </c>
      <c r="K13" s="60">
        <v>0.26504931950379701</v>
      </c>
      <c r="L13" s="21">
        <f t="shared" si="0"/>
        <v>0.24980238745782554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39.56</v>
      </c>
      <c r="I14" s="5"/>
      <c r="J14" s="10">
        <f>D14*E14*H14</f>
        <v>593400</v>
      </c>
      <c r="K14" s="60">
        <v>5.2467189322100399E-2</v>
      </c>
      <c r="L14" s="21">
        <f t="shared" si="0"/>
        <v>4.8957565185539793E-2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20.92</v>
      </c>
      <c r="I15" s="12"/>
      <c r="J15" s="14">
        <f>D15*E15*H15</f>
        <v>627600</v>
      </c>
      <c r="K15" s="61">
        <v>5.3120539617199897E-2</v>
      </c>
      <c r="L15" s="21">
        <f>J15/$B$6</f>
        <v>5.17791842103889E-2</v>
      </c>
    </row>
    <row r="16" spans="1:12" ht="15" thickBot="1" x14ac:dyDescent="0.35">
      <c r="J16" s="35">
        <f>SUM(J10:J15)</f>
        <v>11651229.951222857</v>
      </c>
      <c r="K16" s="36">
        <f>SUM(K10:K15)</f>
        <v>0.99999999999999833</v>
      </c>
      <c r="L16" s="37">
        <f>SUM(L10:L15)</f>
        <v>0.96126702027082345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1.0890500000000001</v>
      </c>
      <c r="I21" s="23"/>
      <c r="J21" s="7">
        <f>D21*E21*H21</f>
        <v>7078825.0000000009</v>
      </c>
      <c r="K21" s="27">
        <f>SUM(K10:K11)</f>
        <v>0.58593986610878246</v>
      </c>
      <c r="L21" s="25">
        <f>SUM(J21:J22)/$B$6</f>
        <v>0.58402769864261672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1.0863543035925736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1.3009483913773141</v>
      </c>
      <c r="H23" s="41"/>
      <c r="I23" s="41"/>
      <c r="J23" s="43">
        <f>D23*G23</f>
        <v>0</v>
      </c>
      <c r="K23" s="44">
        <f>K12</f>
        <v>4.3423085448118702E-2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-7078825.0000000009</v>
      </c>
      <c r="K24" s="29">
        <f>SUM(K13:K15)</f>
        <v>0.37063704844309731</v>
      </c>
      <c r="L24" s="25">
        <f>SUM(J24:J28)/$B$6</f>
        <v>0.41640611208189687</v>
      </c>
    </row>
    <row r="25" spans="1:13" x14ac:dyDescent="0.3">
      <c r="A25" s="6" t="s">
        <v>13</v>
      </c>
      <c r="B25" s="6"/>
      <c r="C25" s="6"/>
      <c r="D25" s="54">
        <v>2261545.96</v>
      </c>
      <c r="E25" s="24">
        <v>1</v>
      </c>
      <c r="F25" s="8" t="s">
        <v>5</v>
      </c>
      <c r="G25" s="8"/>
      <c r="H25" s="5"/>
      <c r="I25" s="5"/>
      <c r="J25" s="7">
        <f>D25</f>
        <v>2261545.96</v>
      </c>
      <c r="K25" s="5"/>
      <c r="L25" s="5"/>
    </row>
    <row r="26" spans="1:13" x14ac:dyDescent="0.3">
      <c r="A26" s="6" t="s">
        <v>14</v>
      </c>
      <c r="B26" s="6"/>
      <c r="C26" s="6"/>
      <c r="D26" s="54">
        <v>9239412.9399999995</v>
      </c>
      <c r="E26" s="24">
        <v>1</v>
      </c>
      <c r="F26" s="8" t="s">
        <v>5</v>
      </c>
      <c r="G26" s="8"/>
      <c r="H26" s="5"/>
      <c r="I26" s="5"/>
      <c r="J26" s="7">
        <f>D26</f>
        <v>9239412.9399999995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12125958.899999999</v>
      </c>
      <c r="K29" s="46">
        <f>SUM(K21:K28)</f>
        <v>0.99999999999999845</v>
      </c>
      <c r="L29" s="46">
        <f>SUM(L21:L28)</f>
        <v>1.0004338107245137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1.0890500000000001</v>
      </c>
      <c r="I34" s="23"/>
      <c r="J34" s="7">
        <f>J21</f>
        <v>7078825.0000000009</v>
      </c>
      <c r="K34" s="27">
        <f>SUM(K10:K11)</f>
        <v>0.58593986610878246</v>
      </c>
      <c r="L34" s="25">
        <f>SUM(J34:J35)/$B$6</f>
        <v>0.58402769864261672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4.3423085448118702E-2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5047133.8999999985</v>
      </c>
      <c r="K37" s="67">
        <f>K24</f>
        <v>0.37063704844309731</v>
      </c>
      <c r="L37" s="67">
        <f>L24</f>
        <v>0.41640611208189687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12125958.899999999</v>
      </c>
      <c r="K38" s="46">
        <f>SUM(K34:K37)</f>
        <v>0.99999999999999845</v>
      </c>
      <c r="L38" s="46">
        <f>SUM(L34:L37)</f>
        <v>1.0004338107245137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2024-10-31T12:16:58Z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