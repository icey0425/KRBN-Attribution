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4D95B149-2227-410D-AF18-6410DECD63A9}" xr6:coauthVersionLast="47" xr6:coauthVersionMax="47" xr10:uidLastSave="{2BB7CB81-2339-4569-A07E-03858DFCF9D6}"/>
  <bookViews>
    <workbookView xWindow="30255" yWindow="6750" windowWidth="22095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<sst xmlns="http://schemas.openxmlformats.org/spreadsheetml/2006/main" count="103" uniqueCount="56">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</sst>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45889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8949904.5299999993</v>
      </c>
      <c r="J6" t="s">
        <v>25</v>
      </c>
    </row>
    <row r="7" spans="1:13" x14ac:dyDescent="0.3">
      <c r="J7" s="57">
        <f>(D28+D29)/B6</f>
        <v>0.97790307714042179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1.1663031688457097</v>
      </c>
      <c r="H10" s="49">
        <v>71.290000000000006</v>
      </c>
      <c r="I10" s="4"/>
      <c r="J10" s="9">
        <f>D10*E10*G10*H10</f>
        <v>4822453.6686066175</v>
      </c>
      <c r="K10" s="54">
        <v>0.54256511983836897</v>
      </c>
      <c r="L10" s="20">
        <f t="shared" ref="L10:L15" si="0">J10/$B$6</f>
        <v>0.53882738664326491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1.1663031688457097</v>
      </c>
      <c r="H11" s="49">
        <v>73.2</v>
      </c>
      <c r="I11" s="4"/>
      <c r="J11" s="9">
        <f t="shared" ref="J11:J12" si="1">D11*E11*G11*H11</f>
        <v>426866.95979752974</v>
      </c>
      <c r="K11" s="54">
        <v>4.9369460488382602E-2</v>
      </c>
      <c r="L11" s="20">
        <f t="shared" si="0"/>
        <v>4.7695141145548035E-2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1.3472912708998559</v>
      </c>
      <c r="H12" s="49">
        <v>50.83</v>
      </c>
      <c r="I12" s="4"/>
      <c r="J12" s="9">
        <f t="shared" si="1"/>
        <v>410896.89179903804</v>
      </c>
      <c r="K12" s="54">
        <v>4.6976960567015801E-2</v>
      </c>
      <c r="L12" s="20">
        <f t="shared" si="0"/>
        <v>4.5910756971955999E-2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29.16</v>
      </c>
      <c r="I13" s="4"/>
      <c r="J13" s="9">
        <f>D13*E13*H13</f>
        <v>1749600</v>
      </c>
      <c r="K13" s="54">
        <v>0.20591484279423899</v>
      </c>
      <c r="L13" s="20">
        <f t="shared" si="0"/>
        <v>0.19548811879896111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30.93</v>
      </c>
      <c r="I14" s="4"/>
      <c r="J14" s="9">
        <f>D14*E14*H14</f>
        <v>463950</v>
      </c>
      <c r="K14" s="54">
        <v>5.1191922974654303E-2</v>
      </c>
      <c r="L14" s="20">
        <f t="shared" ref="L14" si="2">J14/$B$6</f>
        <v>5.1838541790568134E-2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22.49</v>
      </c>
      <c r="I15" s="4"/>
      <c r="J15" s="9">
        <f>D15*E15*H15</f>
        <v>472289.99999999994</v>
      </c>
      <c r="K15" s="54">
        <v>5.3348573513404503E-2</v>
      </c>
      <c r="L15" s="20">
        <f t="shared" si="0"/>
        <v>5.2770395306105014E-2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63</v>
      </c>
      <c r="I16" s="11"/>
      <c r="J16" s="13">
        <f>D16*E16*H16</f>
        <v>441000</v>
      </c>
      <c r="K16" s="55">
        <v>5.0633119823933898E-2</v>
      </c>
      <c r="L16" s="20">
        <f>J16/$B$6</f>
        <v>4.9274268627310151E-2</v>
      </c>
    </row>
    <row r="17" spans="1:13" ht="15" thickBot="1" x14ac:dyDescent="0.35">
      <c r="J17" s="33">
        <f>SUM(J10:J16)</f>
        <v>8787057.5202031843</v>
      </c>
      <c r="K17" s="34">
        <f>SUM(K10:K16)</f>
        <v>0.99999999999999922</v>
      </c>
      <c r="L17" s="35">
        <f>SUM(L10:L16)</f>
        <v>0.98180460928371338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1.1675</v>
      </c>
      <c r="I22" s="22"/>
      <c r="J22" s="6">
        <f>D22*E22*H22</f>
        <v>4378125</v>
      </c>
      <c r="K22" s="26">
        <f>SUM(K10:K11)</f>
        <v>0.59193458032675161</v>
      </c>
      <c r="L22" s="24">
        <f>SUM(J22:J24)/$B$6</f>
        <v>0.57400531020622092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1.1663031688457097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650918</v>
      </c>
      <c r="E24" s="25">
        <v>1</v>
      </c>
      <c r="F24" s="11" t="s">
        <v>4</v>
      </c>
      <c r="G24" s="61">
        <v>1.1663031688457097</v>
      </c>
      <c r="H24" s="11"/>
      <c r="I24" s="11"/>
      <c r="J24" s="13">
        <f>D24*G24</f>
        <v>759167.72605871165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1.3472912708998559</v>
      </c>
      <c r="H25" s="7"/>
      <c r="I25" s="7"/>
      <c r="J25" s="9">
        <f>D25*G25</f>
        <v>0</v>
      </c>
      <c r="K25" s="69">
        <f>K12</f>
        <v>4.6976960567015801E-2</v>
      </c>
      <c r="L25" s="69">
        <f>(SUM(J25:J26))/B6</f>
        <v>4.7052880760880621E-2</v>
      </c>
    </row>
    <row r="26" spans="1:13" ht="15" thickBot="1" x14ac:dyDescent="0.35">
      <c r="A26" s="64" t="s">
        <v>53</v>
      </c>
      <c r="B26" s="11"/>
      <c r="C26" s="11"/>
      <c r="D26" s="52">
        <v>312567</v>
      </c>
      <c r="E26" s="25">
        <v>1</v>
      </c>
      <c r="F26" s="11" t="s">
        <v>22</v>
      </c>
      <c r="G26" s="61">
        <v>1.3472912708998559</v>
      </c>
      <c r="H26" s="11"/>
      <c r="I26" s="11"/>
      <c r="J26" s="13">
        <f>D26*G26</f>
        <v>421118.79067135527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-4378125</v>
      </c>
      <c r="K27" s="65">
        <f>SUM(K13:K16)</f>
        <v>0.36108845910623166</v>
      </c>
      <c r="L27" s="20">
        <f>SUM(J27:J31)/$B$6</f>
        <v>0.38082038102700677</v>
      </c>
    </row>
    <row r="28" spans="1:13" x14ac:dyDescent="0.3">
      <c r="A28" s="5" t="s">
        <v>13</v>
      </c>
      <c r="B28" s="5"/>
      <c r="C28" s="5"/>
      <c r="D28" s="49">
        <v>1344552.65</v>
      </c>
      <c r="E28" s="23">
        <v>1</v>
      </c>
      <c r="F28" s="7" t="s">
        <v>5</v>
      </c>
      <c r="G28" s="7"/>
      <c r="H28" s="4"/>
      <c r="I28" s="4"/>
      <c r="J28" s="6">
        <f>D28</f>
        <v>1344552.65</v>
      </c>
      <c r="K28" s="4"/>
      <c r="L28" s="4"/>
    </row>
    <row r="29" spans="1:13" x14ac:dyDescent="0.3">
      <c r="A29" s="5" t="s">
        <v>14</v>
      </c>
      <c r="B29" s="5"/>
      <c r="C29" s="5"/>
      <c r="D29" s="49">
        <v>7407586.5300000003</v>
      </c>
      <c r="E29" s="23">
        <v>1</v>
      </c>
      <c r="F29" s="7" t="s">
        <v>5</v>
      </c>
      <c r="G29" s="7"/>
      <c r="H29" s="4"/>
      <c r="I29" s="4"/>
      <c r="J29" s="6">
        <f>D29-J26-J24</f>
        <v>6227300.0132699339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214578.39</v>
      </c>
      <c r="E31" s="25">
        <v>1</v>
      </c>
      <c r="F31" s="11" t="s">
        <v>5</v>
      </c>
      <c r="G31" s="11"/>
      <c r="H31" s="11"/>
      <c r="I31" s="11"/>
      <c r="J31" s="13">
        <f>D31</f>
        <v>214578.39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8966717.5700000003</v>
      </c>
      <c r="K32" s="42">
        <f>SUM(K22:K31)</f>
        <v>0.99999999999999911</v>
      </c>
      <c r="L32" s="42">
        <f>SUM(L22:L31)</f>
        <v>1.0018785719941083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1.1675</v>
      </c>
      <c r="I37" s="22"/>
      <c r="J37" s="6">
        <f>J22</f>
        <v>4378125</v>
      </c>
      <c r="K37" s="26">
        <f>SUM(K10:K11)</f>
        <v>0.59193458032675161</v>
      </c>
      <c r="L37" s="24">
        <f>SUM(J37:J39)/$B$6</f>
        <v>0.57400531020622092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650918</v>
      </c>
      <c r="E39" s="25"/>
      <c r="F39" s="11" t="s">
        <v>4</v>
      </c>
      <c r="G39" s="11"/>
      <c r="H39" s="11"/>
      <c r="I39" s="11"/>
      <c r="J39" s="29">
        <f>J24</f>
        <v>759167.72605871165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4.6976960567015801E-2</v>
      </c>
      <c r="L40" s="69">
        <f>(SUM(J40:J41))/$B$6</f>
        <v>4.7052880760880621E-2</v>
      </c>
    </row>
    <row r="41" spans="1:12" ht="15" thickBot="1" x14ac:dyDescent="0.35">
      <c r="A41" s="11" t="s">
        <v>53</v>
      </c>
      <c r="B41" s="11"/>
      <c r="C41" s="11"/>
      <c r="D41" s="29">
        <v>312567</v>
      </c>
      <c r="E41" s="25"/>
      <c r="F41" s="11" t="s">
        <v>22</v>
      </c>
      <c r="G41" s="11"/>
      <c r="H41" s="11"/>
      <c r="I41" s="11"/>
      <c r="J41" s="29">
        <f>J26</f>
        <v>421118.79067135527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3408306.0532699339</v>
      </c>
      <c r="K42" s="71">
        <f>K27</f>
        <v>0.36108845910623166</v>
      </c>
      <c r="L42" s="71">
        <f>L27</f>
        <v>0.38082038102700677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8966717.5700000003</v>
      </c>
      <c r="K43" s="42">
        <f>SUM(K37:K42)</f>
        <v>0.99999999999999911</v>
      </c>
      <c r="L43" s="42">
        <f>SUM(L37:L42)</f>
        <v>1.0018785719941083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2025-08-21T12:06:29Z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