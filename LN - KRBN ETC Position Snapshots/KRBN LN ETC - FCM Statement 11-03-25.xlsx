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F8564019-11EE-4533-92A7-F82A1CFCC4D4}" xr6:coauthVersionLast="47" xr6:coauthVersionMax="47" xr10:uidLastSave="{E372683E-965B-4889-8FC5-D1AAFD62AF46}"/>
  <bookViews>
    <workbookView xWindow="30735" yWindow="6600" windowWidth="22095" windowHeight="1002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<sst xmlns="http://schemas.openxmlformats.org/spreadsheetml/2006/main" count="103" uniqueCount="56">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</sst>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45964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9888036.5999999996</v>
      </c>
      <c r="J6" t="s">
        <v>25</v>
      </c>
    </row>
    <row r="7" spans="1:13" x14ac:dyDescent="0.3">
      <c r="J7" s="57">
        <f>(D28+D29)/B6</f>
        <v>0.97980655735032374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1.1524454893283547</v>
      </c>
      <c r="H10" s="49">
        <v>81.2</v>
      </c>
      <c r="I10" s="4"/>
      <c r="J10" s="9">
        <f>D10*E10*G10*H10</f>
        <v>5427557.2765408186</v>
      </c>
      <c r="K10" s="54">
        <v>0.55242486176148398</v>
      </c>
      <c r="L10" s="20">
        <f t="shared" ref="L10:L15" si="0">J10/$B$6</f>
        <v>0.54890141451750074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1.1524454893283547</v>
      </c>
      <c r="H11" s="49">
        <v>83.28</v>
      </c>
      <c r="I11" s="4"/>
      <c r="J11" s="9">
        <f t="shared" ref="J11:J12" si="1">D11*E11*G11*H11</f>
        <v>479878.30175632687</v>
      </c>
      <c r="K11" s="54">
        <v>5.02090434129168E-2</v>
      </c>
      <c r="L11" s="20">
        <f t="shared" si="0"/>
        <v>4.8531202013990006E-2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1.3146478058528119</v>
      </c>
      <c r="H12" s="49">
        <v>57.98</v>
      </c>
      <c r="I12" s="4"/>
      <c r="J12" s="9">
        <f t="shared" si="1"/>
        <v>457339.67870007618</v>
      </c>
      <c r="K12" s="54">
        <v>4.7301070047581197E-2</v>
      </c>
      <c r="L12" s="20">
        <f t="shared" si="0"/>
        <v>4.6251818960710178E-2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31.07</v>
      </c>
      <c r="I13" s="4"/>
      <c r="J13" s="9">
        <f>D13*E13*H13</f>
        <v>1864200</v>
      </c>
      <c r="K13" s="54">
        <v>0.19848308439111001</v>
      </c>
      <c r="L13" s="20">
        <f t="shared" si="0"/>
        <v>0.18853085555933319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32.729999999999997</v>
      </c>
      <c r="I14" s="4"/>
      <c r="J14" s="9">
        <f>D14*E14*H14</f>
        <v>490949.99999999994</v>
      </c>
      <c r="K14" s="54">
        <v>4.9006043696289997E-2</v>
      </c>
      <c r="L14" s="20">
        <f t="shared" ref="L14" si="2">J14/$B$6</f>
        <v>4.9650908452341283E-2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25.53</v>
      </c>
      <c r="I15" s="4"/>
      <c r="J15" s="9">
        <f>D15*E15*H15</f>
        <v>536130</v>
      </c>
      <c r="K15" s="54">
        <v>5.4785582629344E-2</v>
      </c>
      <c r="L15" s="20">
        <f t="shared" si="0"/>
        <v>5.4220066297084701E-2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65.73</v>
      </c>
      <c r="I16" s="11"/>
      <c r="J16" s="13">
        <f>D16*E16*H16</f>
        <v>460110</v>
      </c>
      <c r="K16" s="55">
        <v>4.77903140612728E-2</v>
      </c>
      <c r="L16" s="20">
        <f>J16/$B$6</f>
        <v>4.6531987958054286E-2</v>
      </c>
    </row>
    <row r="17" spans="1:13" ht="15" thickBot="1" x14ac:dyDescent="0.35">
      <c r="J17" s="33">
        <f>SUM(J10:J16)</f>
        <v>9716165.2569972221</v>
      </c>
      <c r="K17" s="34">
        <f>SUM(K10:K16)</f>
        <v>0.99999999999999867</v>
      </c>
      <c r="L17" s="35">
        <f>SUM(L10:L16)</f>
        <v>0.98261825375901435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1.15455</v>
      </c>
      <c r="I22" s="22"/>
      <c r="J22" s="6">
        <f>D22*E22*H22</f>
        <v>4329562.5</v>
      </c>
      <c r="K22" s="26">
        <f>SUM(K10:K11)</f>
        <v>0.60263390517440074</v>
      </c>
      <c r="L22" s="24">
        <f>SUM(J22:J24)/$B$6</f>
        <v>0.5865872183402856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1.1524454893283547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1276098</v>
      </c>
      <c r="E24" s="25">
        <v>1</v>
      </c>
      <c r="F24" s="11" t="s">
        <v>4</v>
      </c>
      <c r="G24" s="61">
        <v>1.1524454893283547</v>
      </c>
      <c r="H24" s="11"/>
      <c r="I24" s="11"/>
      <c r="J24" s="13">
        <f>D24*G24</f>
        <v>1470633.3840409347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1.3146478058528119</v>
      </c>
      <c r="H25" s="7"/>
      <c r="I25" s="7"/>
      <c r="J25" s="9">
        <f>D25*G25</f>
        <v>0</v>
      </c>
      <c r="K25" s="69">
        <f>K12</f>
        <v>4.7301070047581197E-2</v>
      </c>
      <c r="L25" s="69">
        <f>(SUM(J25:J26))/B6</f>
        <v>4.7260536192097177E-2</v>
      </c>
    </row>
    <row r="26" spans="1:13" ht="15" thickBot="1" x14ac:dyDescent="0.35">
      <c r="A26" s="64" t="s">
        <v>53</v>
      </c>
      <c r="B26" s="11"/>
      <c r="C26" s="11"/>
      <c r="D26" s="52">
        <v>355467</v>
      </c>
      <c r="E26" s="25">
        <v>1</v>
      </c>
      <c r="F26" s="11" t="s">
        <v>22</v>
      </c>
      <c r="G26" s="61">
        <v>1.3146478058528119</v>
      </c>
      <c r="H26" s="11"/>
      <c r="I26" s="11"/>
      <c r="J26" s="13">
        <f>D26*G26</f>
        <v>467313.91160308151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-4329562.5</v>
      </c>
      <c r="K27" s="65">
        <f>SUM(K13:K16)</f>
        <v>0.35006502477801682</v>
      </c>
      <c r="L27" s="20">
        <f>SUM(J27:J31)/$B$6</f>
        <v>0.36663890426497636</v>
      </c>
    </row>
    <row r="28" spans="1:13" x14ac:dyDescent="0.3">
      <c r="A28" s="5" t="s">
        <v>13</v>
      </c>
      <c r="B28" s="5"/>
      <c r="C28" s="5"/>
      <c r="D28" s="49">
        <v>1199006.23</v>
      </c>
      <c r="E28" s="23">
        <v>1</v>
      </c>
      <c r="F28" s="7" t="s">
        <v>5</v>
      </c>
      <c r="G28" s="7"/>
      <c r="H28" s="4"/>
      <c r="I28" s="4"/>
      <c r="J28" s="6">
        <f>D28</f>
        <v>1199006.23</v>
      </c>
      <c r="K28" s="4"/>
      <c r="L28" s="4"/>
    </row>
    <row r="29" spans="1:13" x14ac:dyDescent="0.3">
      <c r="A29" s="5" t="s">
        <v>14</v>
      </c>
      <c r="B29" s="5"/>
      <c r="C29" s="5"/>
      <c r="D29" s="49">
        <v>8489356.8699999992</v>
      </c>
      <c r="E29" s="23">
        <v>1</v>
      </c>
      <c r="F29" s="7" t="s">
        <v>5</v>
      </c>
      <c r="G29" s="7"/>
      <c r="H29" s="4"/>
      <c r="I29" s="4"/>
      <c r="J29" s="6">
        <f>D29-J26-J24</f>
        <v>6551409.5743559822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204485.6</v>
      </c>
      <c r="E31" s="25">
        <v>1</v>
      </c>
      <c r="F31" s="11" t="s">
        <v>5</v>
      </c>
      <c r="G31" s="11"/>
      <c r="H31" s="11"/>
      <c r="I31" s="11"/>
      <c r="J31" s="13">
        <f>D31</f>
        <v>204485.6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9892848.6999999993</v>
      </c>
      <c r="K32" s="42">
        <f>SUM(K22:K31)</f>
        <v>0.99999999999999878</v>
      </c>
      <c r="L32" s="42">
        <f>SUM(L22:L31)</f>
        <v>1.0004866587973591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1.15455</v>
      </c>
      <c r="I37" s="22"/>
      <c r="J37" s="6">
        <f>J22</f>
        <v>4329562.5</v>
      </c>
      <c r="K37" s="26">
        <f>SUM(K10:K11)</f>
        <v>0.60263390517440074</v>
      </c>
      <c r="L37" s="24">
        <f>SUM(J37:J39)/$B$6</f>
        <v>0.5865872183402856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1276098</v>
      </c>
      <c r="E39" s="25"/>
      <c r="F39" s="11" t="s">
        <v>4</v>
      </c>
      <c r="G39" s="11"/>
      <c r="H39" s="11"/>
      <c r="I39" s="11"/>
      <c r="J39" s="29">
        <f>J24</f>
        <v>1470633.3840409347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4.7301070047581197E-2</v>
      </c>
      <c r="L40" s="69">
        <f>(SUM(J40:J41))/$B$6</f>
        <v>4.7260536192097177E-2</v>
      </c>
    </row>
    <row r="41" spans="1:12" ht="15" thickBot="1" x14ac:dyDescent="0.35">
      <c r="A41" s="11" t="s">
        <v>53</v>
      </c>
      <c r="B41" s="11"/>
      <c r="C41" s="11"/>
      <c r="D41" s="29">
        <v>355467</v>
      </c>
      <c r="E41" s="25"/>
      <c r="F41" s="11" t="s">
        <v>22</v>
      </c>
      <c r="G41" s="11"/>
      <c r="H41" s="11"/>
      <c r="I41" s="11"/>
      <c r="J41" s="29">
        <f>J26</f>
        <v>467313.91160308151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3625338.9043559823</v>
      </c>
      <c r="K42" s="71">
        <f>K27</f>
        <v>0.35006502477801682</v>
      </c>
      <c r="L42" s="71">
        <f>L27</f>
        <v>0.36663890426497636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9892848.6999999993</v>
      </c>
      <c r="K43" s="42">
        <f>SUM(K37:K42)</f>
        <v>0.99999999999999878</v>
      </c>
      <c r="L43" s="42">
        <f>SUM(L37:L42)</f>
        <v>1.0004866587973591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2025-11-04T13:31:48Z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