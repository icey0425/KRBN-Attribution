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B5C35C2-7A25-4E76-829B-7C988E3CE896}" xr6:coauthVersionLast="47" xr6:coauthVersionMax="47" xr10:uidLastSave="{BC6DD06B-0D9F-4684-9E46-7E56E69524DC}"/>
  <bookViews>
    <workbookView xWindow="29490" yWindow="481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<sst xmlns="http://schemas.openxmlformats.org/spreadsheetml/2006/main" count="103" uniqueCount="56">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</sst>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45811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8657392.3900000006</v>
      </c>
      <c r="J6" t="s">
        <v>25</v>
      </c>
    </row>
    <row r="7" spans="1:13" x14ac:dyDescent="0.3">
      <c r="J7" s="57">
        <f>(D28+D29)/B6</f>
        <v>0.97726136102743977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1.1392506009546919</v>
      </c>
      <c r="H10" s="49">
        <v>72.599999999999994</v>
      </c>
      <c r="I10" s="4"/>
      <c r="J10" s="9">
        <f>D10*E10*G10*H10</f>
        <v>4797156.4305000156</v>
      </c>
      <c r="K10" s="54">
        <v>0.55822379824505197</v>
      </c>
      <c r="L10" s="20">
        <f t="shared" ref="L10:L15" si="0">J10/$B$6</f>
        <v>0.55411100876530972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1.1392506009546919</v>
      </c>
      <c r="H11" s="49">
        <v>74.44</v>
      </c>
      <c r="I11" s="4"/>
      <c r="J11" s="9">
        <f t="shared" ref="J11:J12" si="1">D11*E11*G11*H11</f>
        <v>424029.07367533626</v>
      </c>
      <c r="K11" s="54">
        <v>5.0722673398981198E-2</v>
      </c>
      <c r="L11" s="20">
        <f t="shared" si="0"/>
        <v>4.8978844272453755E-2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1.3529419723188074</v>
      </c>
      <c r="H12" s="49">
        <v>50.67</v>
      </c>
      <c r="I12" s="4"/>
      <c r="J12" s="9">
        <f t="shared" si="1"/>
        <v>411321.41842436383</v>
      </c>
      <c r="K12" s="54">
        <v>4.8637680470741601E-2</v>
      </c>
      <c r="L12" s="20">
        <f t="shared" si="0"/>
        <v>4.7511005611744463E-2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26.9</v>
      </c>
      <c r="I13" s="4"/>
      <c r="J13" s="9">
        <f>D13*E13*H13</f>
        <v>1614000</v>
      </c>
      <c r="K13" s="54">
        <v>0.196468134834198</v>
      </c>
      <c r="L13" s="20">
        <f t="shared" si="0"/>
        <v>0.18643026991179268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28.71</v>
      </c>
      <c r="I14" s="4"/>
      <c r="J14" s="9">
        <f>D14*E14*H14</f>
        <v>430650</v>
      </c>
      <c r="K14" s="54">
        <v>4.91467071690357E-2</v>
      </c>
      <c r="L14" s="20">
        <f t="shared" ref="L14" si="2">J14/$B$6</f>
        <v>4.9743615698583342E-2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20.16</v>
      </c>
      <c r="I15" s="4"/>
      <c r="J15" s="9">
        <f>D15*E15*H15</f>
        <v>423360</v>
      </c>
      <c r="K15" s="54">
        <v>4.9461079744888697E-2</v>
      </c>
      <c r="L15" s="20">
        <f t="shared" si="0"/>
        <v>4.8901560761992903E-2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56.95</v>
      </c>
      <c r="I16" s="11"/>
      <c r="J16" s="13">
        <f>D16*E16*H16</f>
        <v>398650</v>
      </c>
      <c r="K16" s="55">
        <v>4.7339926137101099E-2</v>
      </c>
      <c r="L16" s="20">
        <f>J16/$B$6</f>
        <v>4.6047352602438758E-2</v>
      </c>
    </row>
    <row r="17" spans="1:13" ht="15" thickBot="1" x14ac:dyDescent="0.35">
      <c r="J17" s="33">
        <f>SUM(J10:J16)</f>
        <v>8499166.9225997161</v>
      </c>
      <c r="K17" s="34">
        <f>SUM(K10:K16)</f>
        <v>0.99999999999999822</v>
      </c>
      <c r="L17" s="35">
        <f>SUM(L10:L16)</f>
        <v>0.98172365762431568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1.13845</v>
      </c>
      <c r="I22" s="22"/>
      <c r="J22" s="6">
        <f>D22*E22*H22</f>
        <v>4269187.5</v>
      </c>
      <c r="K22" s="26">
        <f>SUM(K10:K11)</f>
        <v>0.60894647164403315</v>
      </c>
      <c r="L22" s="24">
        <f>SUM(J22:J24)/$B$6</f>
        <v>0.58959668305604929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1.1392506009546919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733098</v>
      </c>
      <c r="E24" s="25">
        <v>1</v>
      </c>
      <c r="F24" s="11" t="s">
        <v>4</v>
      </c>
      <c r="G24" s="61">
        <v>1.1392506009546919</v>
      </c>
      <c r="H24" s="11"/>
      <c r="I24" s="11"/>
      <c r="J24" s="13">
        <f>D24*G24</f>
        <v>835182.33705868269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1.3529419723188074</v>
      </c>
      <c r="H25" s="7"/>
      <c r="I25" s="7"/>
      <c r="J25" s="9">
        <f>D25*G25</f>
        <v>0</v>
      </c>
      <c r="K25" s="69">
        <f>K12</f>
        <v>4.8637680470741601E-2</v>
      </c>
      <c r="L25" s="69">
        <f>(SUM(J25:J26))/B6</f>
        <v>8.3858753333008879E-2</v>
      </c>
    </row>
    <row r="26" spans="1:13" ht="15" thickBot="1" x14ac:dyDescent="0.35">
      <c r="A26" s="64" t="s">
        <v>53</v>
      </c>
      <c r="B26" s="11"/>
      <c r="C26" s="11"/>
      <c r="D26" s="52">
        <v>536607</v>
      </c>
      <c r="E26" s="25">
        <v>1</v>
      </c>
      <c r="F26" s="11" t="s">
        <v>22</v>
      </c>
      <c r="G26" s="61">
        <v>1.3529419723188074</v>
      </c>
      <c r="H26" s="11"/>
      <c r="I26" s="11"/>
      <c r="J26" s="13">
        <f>D26*G26</f>
        <v>725998.13294007827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-4269187.5</v>
      </c>
      <c r="K27" s="65">
        <f>SUM(K13:K16)</f>
        <v>0.34241584788522345</v>
      </c>
      <c r="L27" s="20">
        <f>SUM(J27:J31)/$B$6</f>
        <v>0.33015482390549689</v>
      </c>
    </row>
    <row r="28" spans="1:13" x14ac:dyDescent="0.3">
      <c r="A28" s="5" t="s">
        <v>13</v>
      </c>
      <c r="B28" s="5"/>
      <c r="C28" s="5"/>
      <c r="D28" s="49">
        <v>1352404.57</v>
      </c>
      <c r="E28" s="23">
        <v>1</v>
      </c>
      <c r="F28" s="7" t="s">
        <v>5</v>
      </c>
      <c r="G28" s="7"/>
      <c r="H28" s="4"/>
      <c r="I28" s="4"/>
      <c r="J28" s="6">
        <f>D28</f>
        <v>1352404.57</v>
      </c>
      <c r="K28" s="4"/>
      <c r="L28" s="4"/>
    </row>
    <row r="29" spans="1:13" x14ac:dyDescent="0.3">
      <c r="A29" s="5" t="s">
        <v>14</v>
      </c>
      <c r="B29" s="5"/>
      <c r="C29" s="5"/>
      <c r="D29" s="49">
        <v>7108130.5</v>
      </c>
      <c r="E29" s="23">
        <v>1</v>
      </c>
      <c r="F29" s="7" t="s">
        <v>5</v>
      </c>
      <c r="G29" s="7"/>
      <c r="H29" s="4"/>
      <c r="I29" s="4"/>
      <c r="J29" s="6">
        <f>D29-J26-J24</f>
        <v>5546950.0300012389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228112.76</v>
      </c>
      <c r="E31" s="25">
        <v>1</v>
      </c>
      <c r="F31" s="11" t="s">
        <v>5</v>
      </c>
      <c r="G31" s="11"/>
      <c r="H31" s="11"/>
      <c r="I31" s="11"/>
      <c r="J31" s="13">
        <f>D31</f>
        <v>228112.76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8688647.8300000001</v>
      </c>
      <c r="K32" s="42">
        <f>SUM(K22:K31)</f>
        <v>0.99999999999999822</v>
      </c>
      <c r="L32" s="42">
        <f>SUM(L22:L31)</f>
        <v>1.0036102602945549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1.13845</v>
      </c>
      <c r="I37" s="22"/>
      <c r="J37" s="6">
        <f>J22</f>
        <v>4269187.5</v>
      </c>
      <c r="K37" s="26">
        <f>SUM(K10:K11)</f>
        <v>0.60894647164403315</v>
      </c>
      <c r="L37" s="24">
        <f>SUM(J37:J39)/$B$6</f>
        <v>0.58959668305604929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733098</v>
      </c>
      <c r="E39" s="25"/>
      <c r="F39" s="11" t="s">
        <v>4</v>
      </c>
      <c r="G39" s="11"/>
      <c r="H39" s="11"/>
      <c r="I39" s="11"/>
      <c r="J39" s="29">
        <f>J24</f>
        <v>835182.33705868269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4.8637680470741601E-2</v>
      </c>
      <c r="L40" s="69">
        <f>(SUM(J40:J41))/$B$6</f>
        <v>8.3858753333008879E-2</v>
      </c>
    </row>
    <row r="41" spans="1:12" ht="15" thickBot="1" x14ac:dyDescent="0.35">
      <c r="A41" s="11" t="s">
        <v>53</v>
      </c>
      <c r="B41" s="11"/>
      <c r="C41" s="11"/>
      <c r="D41" s="29">
        <v>536607</v>
      </c>
      <c r="E41" s="25"/>
      <c r="F41" s="11" t="s">
        <v>22</v>
      </c>
      <c r="G41" s="11"/>
      <c r="H41" s="11"/>
      <c r="I41" s="11"/>
      <c r="J41" s="29">
        <f>J26</f>
        <v>725998.13294007827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2858279.860001239</v>
      </c>
      <c r="K42" s="71">
        <f>K27</f>
        <v>0.34241584788522345</v>
      </c>
      <c r="L42" s="71">
        <f>L27</f>
        <v>0.33015482390549689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8688647.8300000001</v>
      </c>
      <c r="K43" s="42">
        <f>SUM(K37:K42)</f>
        <v>0.99999999999999822</v>
      </c>
      <c r="L43" s="42">
        <f>SUM(L37:L42)</f>
        <v>1.0036102602945549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2025-06-04T12:21:46Z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