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F0903548-9DA4-4B7D-AC8C-BCA06DADF2E9}" xr6:coauthVersionLast="47" xr6:coauthVersionMax="47" xr10:uidLastSave="{581E6AD3-0F31-4055-943A-203FA82F1D38}"/>
  <bookViews>
    <workbookView xWindow="29910" yWindow="4395" windowWidth="22125" windowHeight="9750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4" i="1" l="1"/>
  <c r="J39" i="1" l="1"/>
  <c r="J26" i="1"/>
  <c r="J14" i="1"/>
  <c r="L14" i="1" s="1"/>
  <c r="J31" i="1"/>
  <c r="K40" i="1"/>
  <c r="K37" i="1"/>
  <c r="J28" i="1"/>
  <c r="K27" i="1"/>
  <c r="K42" i="1" s="1"/>
  <c r="K25" i="1"/>
  <c r="J25" i="1"/>
  <c r="J40" i="1" s="1"/>
  <c r="J23" i="1"/>
  <c r="J38" i="1" s="1"/>
  <c r="K22" i="1"/>
  <c r="J22" i="1"/>
  <c r="J27" i="1" s="1"/>
  <c r="K17" i="1"/>
  <c r="J16" i="1"/>
  <c r="L16" i="1" s="1"/>
  <c r="J15" i="1"/>
  <c r="L15" i="1" s="1"/>
  <c r="J13" i="1"/>
  <c r="L13" i="1" s="1"/>
  <c r="J12" i="1"/>
  <c r="L12" i="1" s="1"/>
  <c r="J11" i="1"/>
  <c r="L11" i="1" s="1"/>
  <c r="J10" i="1"/>
  <c r="L10" i="1" s="1"/>
  <c r="J7" i="1"/>
  <c r="L25" i="1" l="1"/>
  <c r="J29" i="1"/>
  <c r="L27" i="1" s="1"/>
  <c r="L42" i="1" s="1"/>
  <c r="J41" i="1"/>
  <c r="L40" i="1" s="1"/>
  <c r="L22" i="1"/>
  <c r="K43" i="1"/>
  <c r="K32" i="1"/>
  <c r="J37" i="1"/>
  <c r="L37" i="1" s="1"/>
  <c r="L17" i="1"/>
  <c r="J17" i="1"/>
  <c r="J42" i="1" l="1"/>
  <c r="J43" i="1" s="1"/>
  <c r="J32" i="1"/>
  <c r="L43" i="1"/>
  <c r="L32" i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<sst xmlns="http://schemas.openxmlformats.org/spreadsheetml/2006/main" count="103" uniqueCount="56">
  <si>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</si>
  <si>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</si>
  <si>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</si>
  <si>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</si>
  <si>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</si>
  <si>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</si>
  <si>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</si>
  <si>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</si>
  <si>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</si>
  <si>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</si>
  <si>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</si>
  <si>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</si>
  <si>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</si>
  <si>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</si>
  <si>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</si>
  <si>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</si>
  <si>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</si>
  <si>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</si>
  <si>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</si>
  <si>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</si>
  <si>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</si>
  <si>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</si>
  <si>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</si>
  <si>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</si>
  <si>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</si>
  <si>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</si>
  <si>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</si>
  <si>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</si>
  <si>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</si>
  <si>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</si>
  <si>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</si>
  <si>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</si>
  <si>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</si>
  <si>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</si>
  <si>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</si>
  <si>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</si>
  <si>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</si>
  <si>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</si>
  <si>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</si>
  <si>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</si>
  <si>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</si>
  <si>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</si>
  <si>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</si>
  <si>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</si>
  <si>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</si>
  <si>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</si>
  <si>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</si>
  <si>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</si>
  <si>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</si>
  <si>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</si>
  <si>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ECH5 Curncy</t>
  </si>
  <si>
    <t>EURO FX CURR FUT  Mar25</t>
  </si>
  <si>
    <t>EUR Cash in BBH</t>
  </si>
  <si>
    <t>EURO in CFC</t>
  </si>
  <si>
    <t>GBP Cash in BBH</t>
  </si>
  <si>
    <t>GBP in CFC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</si>
</sst>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44" fontId="0" fillId="0" borderId="0" xfId="2" applyFont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3" t="s">
        <v>33</v>
      </c>
      <c r="B1" s="22"/>
      <c r="C1" s="22"/>
      <c r="D1" s="22"/>
      <c r="E1" s="22"/>
      <c r="J1" s="44"/>
      <c r="K1" s="45"/>
      <c r="L1" s="46"/>
    </row>
    <row r="2" spans="1:12" ht="23.1" customHeight="1" x14ac:dyDescent="0.3">
      <c r="A2" t="s">
        <v>34</v>
      </c>
      <c r="J2" s="44"/>
      <c r="K2" s="45"/>
      <c r="L2" s="46"/>
    </row>
    <row r="3" spans="1:12" x14ac:dyDescent="0.3">
      <c r="A3" t="s">
        <v>15</v>
      </c>
      <c r="B3" s="57">
        <v>45701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2">
        <v>0</v>
      </c>
    </row>
    <row r="6" spans="1:12" x14ac:dyDescent="0.3">
      <c r="A6" s="3" t="s">
        <v>19</v>
      </c>
      <c r="B6" s="38">
        <v>12129565.680000002</v>
      </c>
      <c r="J6" t="s">
        <v>25</v>
      </c>
    </row>
    <row r="7" spans="1:12" x14ac:dyDescent="0.3">
      <c r="J7" s="58">
        <f>(D28+D29)/B6</f>
        <v>0.95086394964803056</v>
      </c>
      <c r="K7" s="19"/>
    </row>
    <row r="8" spans="1:12" ht="15" thickBot="1" x14ac:dyDescent="0.35">
      <c r="A8" s="3" t="s">
        <v>26</v>
      </c>
    </row>
    <row r="9" spans="1:12" s="4" customFormat="1" ht="29.4" thickBot="1" x14ac:dyDescent="0.35">
      <c r="A9" s="16" t="s">
        <v>1</v>
      </c>
      <c r="B9" s="17" t="s">
        <v>7</v>
      </c>
      <c r="C9" s="17" t="s">
        <v>0</v>
      </c>
      <c r="D9" s="11" t="s">
        <v>18</v>
      </c>
      <c r="E9" s="11" t="s">
        <v>9</v>
      </c>
      <c r="F9" s="11" t="s">
        <v>3</v>
      </c>
      <c r="G9" s="11" t="s">
        <v>2</v>
      </c>
      <c r="H9" s="11" t="s">
        <v>6</v>
      </c>
      <c r="I9" s="18"/>
      <c r="J9" s="15" t="s">
        <v>17</v>
      </c>
      <c r="K9" s="20" t="s">
        <v>11</v>
      </c>
      <c r="L9" s="20" t="s">
        <v>10</v>
      </c>
    </row>
    <row r="10" spans="1:12" x14ac:dyDescent="0.3">
      <c r="A10" s="5" t="s">
        <v>27</v>
      </c>
      <c r="B10" s="6" t="s">
        <v>28</v>
      </c>
      <c r="C10" s="9" t="s">
        <v>29</v>
      </c>
      <c r="D10" s="49">
        <v>86</v>
      </c>
      <c r="E10" s="47">
        <v>1000</v>
      </c>
      <c r="F10" s="5" t="s">
        <v>4</v>
      </c>
      <c r="G10" s="63">
        <v>1.0433512441963586</v>
      </c>
      <c r="H10" s="50">
        <v>78.05</v>
      </c>
      <c r="I10" s="5"/>
      <c r="J10" s="10">
        <f>D10*E10*G10*H10</f>
        <v>7003286.556419218</v>
      </c>
      <c r="K10" s="55">
        <v>0.590758812097533</v>
      </c>
      <c r="L10" s="21">
        <f t="shared" ref="L10:L15" si="0">J10/$B$6</f>
        <v>0.57737323340164448</v>
      </c>
    </row>
    <row r="11" spans="1:12" x14ac:dyDescent="0.3">
      <c r="A11" s="5" t="s">
        <v>35</v>
      </c>
      <c r="B11" s="6" t="s">
        <v>36</v>
      </c>
      <c r="C11" s="9" t="s">
        <v>37</v>
      </c>
      <c r="D11" s="49">
        <v>8</v>
      </c>
      <c r="E11" s="47">
        <v>1000</v>
      </c>
      <c r="F11" s="5" t="s">
        <v>4</v>
      </c>
      <c r="G11" s="63">
        <v>1.0433512441963586</v>
      </c>
      <c r="H11" s="50">
        <v>80.260000000000005</v>
      </c>
      <c r="I11" s="5"/>
      <c r="J11" s="10">
        <f t="shared" ref="J11:J12" si="1">D11*E11*G11*H11</f>
        <v>669914.96687359794</v>
      </c>
      <c r="K11" s="55">
        <v>5.36505289236551E-2</v>
      </c>
      <c r="L11" s="21">
        <f t="shared" si="0"/>
        <v>5.5229922039022078E-2</v>
      </c>
    </row>
    <row r="12" spans="1:12" x14ac:dyDescent="0.3">
      <c r="A12" s="5" t="s">
        <v>38</v>
      </c>
      <c r="B12" s="6" t="s">
        <v>39</v>
      </c>
      <c r="C12" s="9" t="s">
        <v>40</v>
      </c>
      <c r="D12" s="49">
        <v>12</v>
      </c>
      <c r="E12" s="47">
        <v>1000</v>
      </c>
      <c r="F12" s="5" t="s">
        <v>22</v>
      </c>
      <c r="G12" s="63">
        <v>1.2523481527864746</v>
      </c>
      <c r="H12" s="50">
        <v>46.06</v>
      </c>
      <c r="I12" s="5"/>
      <c r="J12" s="10">
        <f t="shared" si="1"/>
        <v>692197.87100814027</v>
      </c>
      <c r="K12" s="55">
        <v>5.7758122136911103E-2</v>
      </c>
      <c r="L12" s="21">
        <f t="shared" si="0"/>
        <v>5.7066995576723747E-2</v>
      </c>
    </row>
    <row r="13" spans="1:12" x14ac:dyDescent="0.3">
      <c r="A13" s="5" t="s">
        <v>30</v>
      </c>
      <c r="B13" s="6" t="s">
        <v>31</v>
      </c>
      <c r="C13" s="9" t="s">
        <v>32</v>
      </c>
      <c r="D13" s="49">
        <v>63</v>
      </c>
      <c r="E13" s="47">
        <v>1000</v>
      </c>
      <c r="F13" s="5" t="s">
        <v>5</v>
      </c>
      <c r="G13" s="48"/>
      <c r="H13" s="50">
        <v>30.56</v>
      </c>
      <c r="I13" s="5"/>
      <c r="J13" s="10">
        <f>D13*E13*H13</f>
        <v>1925280</v>
      </c>
      <c r="K13" s="55">
        <v>0.16534649206937899</v>
      </c>
      <c r="L13" s="21">
        <f t="shared" si="0"/>
        <v>0.15872621087946487</v>
      </c>
    </row>
    <row r="14" spans="1:12" x14ac:dyDescent="0.3">
      <c r="A14" s="5" t="s">
        <v>41</v>
      </c>
      <c r="B14" s="6" t="s">
        <v>42</v>
      </c>
      <c r="C14" s="9" t="s">
        <v>43</v>
      </c>
      <c r="D14" s="49">
        <v>16</v>
      </c>
      <c r="E14" s="47">
        <v>1000</v>
      </c>
      <c r="F14" s="5" t="s">
        <v>5</v>
      </c>
      <c r="G14" s="48"/>
      <c r="H14" s="50">
        <v>32.590000000000003</v>
      </c>
      <c r="I14" s="5"/>
      <c r="J14" s="10">
        <f>D14*E14*H14</f>
        <v>521440.00000000006</v>
      </c>
      <c r="K14" s="55">
        <v>4.1617528503147302E-2</v>
      </c>
      <c r="L14" s="21">
        <f t="shared" ref="L14" si="2">J14/$B$6</f>
        <v>4.2989173211682545E-2</v>
      </c>
    </row>
    <row r="15" spans="1:12" x14ac:dyDescent="0.3">
      <c r="A15" s="5" t="s">
        <v>44</v>
      </c>
      <c r="B15" s="6" t="s">
        <v>45</v>
      </c>
      <c r="C15" s="9" t="s">
        <v>46</v>
      </c>
      <c r="D15" s="49">
        <v>24</v>
      </c>
      <c r="E15" s="47">
        <v>1000</v>
      </c>
      <c r="F15" s="5" t="s">
        <v>5</v>
      </c>
      <c r="G15" s="5"/>
      <c r="H15" s="50">
        <v>22.54</v>
      </c>
      <c r="I15" s="5"/>
      <c r="J15" s="10">
        <f>D15*E15*H15</f>
        <v>540960</v>
      </c>
      <c r="K15" s="55">
        <v>4.6677826675897101E-2</v>
      </c>
      <c r="L15" s="21">
        <f t="shared" si="0"/>
        <v>4.459846413890723E-2</v>
      </c>
    </row>
    <row r="16" spans="1:12" ht="15" thickBot="1" x14ac:dyDescent="0.35">
      <c r="A16" s="12" t="s">
        <v>47</v>
      </c>
      <c r="B16" s="13" t="s">
        <v>48</v>
      </c>
      <c r="C16" s="13" t="s">
        <v>49</v>
      </c>
      <c r="D16" s="51">
        <v>10</v>
      </c>
      <c r="E16" s="52">
        <v>1000</v>
      </c>
      <c r="F16" s="12" t="s">
        <v>5</v>
      </c>
      <c r="G16" s="12"/>
      <c r="H16" s="53">
        <v>54</v>
      </c>
      <c r="I16" s="12"/>
      <c r="J16" s="14">
        <f>D16*E16*H16</f>
        <v>540000</v>
      </c>
      <c r="K16" s="56">
        <v>4.4190689593476898E-2</v>
      </c>
      <c r="L16" s="21">
        <f>J16/$B$6</f>
        <v>4.4519318683469956E-2</v>
      </c>
    </row>
    <row r="17" spans="1:13" ht="15" thickBot="1" x14ac:dyDescent="0.35">
      <c r="J17" s="34">
        <f>SUM(J10:J16)</f>
        <v>11893079.394300956</v>
      </c>
      <c r="K17" s="35">
        <f>SUM(K10:K16)</f>
        <v>0.99999999999999956</v>
      </c>
      <c r="L17" s="36">
        <f>SUM(L10:L16)</f>
        <v>0.98050331793091494</v>
      </c>
    </row>
    <row r="18" spans="1:13" x14ac:dyDescent="0.3">
      <c r="J18" s="19"/>
      <c r="K18" s="19"/>
    </row>
    <row r="19" spans="1:13" x14ac:dyDescent="0.3">
      <c r="J19" s="19"/>
      <c r="K19" s="19"/>
      <c r="L19" s="19"/>
    </row>
    <row r="20" spans="1:13" ht="15" thickBot="1" x14ac:dyDescent="0.35">
      <c r="A20" s="3" t="s">
        <v>12</v>
      </c>
    </row>
    <row r="21" spans="1:13" ht="29.4" thickBot="1" x14ac:dyDescent="0.35">
      <c r="A21" s="16"/>
      <c r="B21" s="17" t="s">
        <v>7</v>
      </c>
      <c r="C21" s="17" t="s">
        <v>0</v>
      </c>
      <c r="D21" s="11" t="s">
        <v>18</v>
      </c>
      <c r="E21" s="11" t="s">
        <v>9</v>
      </c>
      <c r="F21" s="11" t="s">
        <v>3</v>
      </c>
      <c r="G21" s="11"/>
      <c r="H21" s="11" t="s">
        <v>6</v>
      </c>
      <c r="I21" s="18"/>
      <c r="J21" s="15" t="s">
        <v>17</v>
      </c>
      <c r="K21" s="20" t="s">
        <v>11</v>
      </c>
      <c r="L21" s="20" t="s">
        <v>10</v>
      </c>
    </row>
    <row r="22" spans="1:13" x14ac:dyDescent="0.3">
      <c r="A22" s="5" t="s">
        <v>8</v>
      </c>
      <c r="B22" s="6" t="s">
        <v>50</v>
      </c>
      <c r="C22" s="6" t="s">
        <v>51</v>
      </c>
      <c r="D22" s="49">
        <v>50</v>
      </c>
      <c r="E22" s="47">
        <v>125000</v>
      </c>
      <c r="F22" s="5" t="s">
        <v>5</v>
      </c>
      <c r="G22" s="23"/>
      <c r="H22" s="54">
        <v>1.0450999999999999</v>
      </c>
      <c r="I22" s="23"/>
      <c r="J22" s="7">
        <f>D22*E22*H22</f>
        <v>6531874.9999999991</v>
      </c>
      <c r="K22" s="27">
        <f>SUM(K10:K11)</f>
        <v>0.64440934102118808</v>
      </c>
      <c r="L22" s="25">
        <f>SUM(J22:J24)/$B$6</f>
        <v>0.64744521585499715</v>
      </c>
      <c r="M22" s="19"/>
    </row>
    <row r="23" spans="1:13" x14ac:dyDescent="0.3">
      <c r="A23" s="5" t="s">
        <v>52</v>
      </c>
      <c r="B23" s="6"/>
      <c r="C23" s="6"/>
      <c r="D23" s="50"/>
      <c r="E23" s="61">
        <v>1</v>
      </c>
      <c r="F23" s="5" t="s">
        <v>4</v>
      </c>
      <c r="G23" s="67">
        <v>1.0433512441963586</v>
      </c>
      <c r="H23" s="5"/>
      <c r="I23" s="5"/>
      <c r="J23" s="7">
        <f>D23*G23</f>
        <v>0</v>
      </c>
      <c r="K23" s="27"/>
      <c r="L23" s="25"/>
    </row>
    <row r="24" spans="1:13" ht="15" thickBot="1" x14ac:dyDescent="0.35">
      <c r="A24" s="65" t="s">
        <v>53</v>
      </c>
      <c r="B24" s="13"/>
      <c r="C24" s="13"/>
      <c r="D24" s="53">
        <v>1266452</v>
      </c>
      <c r="E24" s="26">
        <v>1</v>
      </c>
      <c r="F24" s="12" t="s">
        <v>4</v>
      </c>
      <c r="G24" s="62">
        <v>1.0433512441963586</v>
      </c>
      <c r="H24" s="12"/>
      <c r="I24" s="12"/>
      <c r="J24" s="14">
        <f>D24*G24</f>
        <v>1321354.2699149668</v>
      </c>
      <c r="K24" s="28"/>
      <c r="L24" s="29"/>
    </row>
    <row r="25" spans="1:13" x14ac:dyDescent="0.3">
      <c r="A25" s="8" t="s">
        <v>54</v>
      </c>
      <c r="B25" s="8"/>
      <c r="C25" s="8"/>
      <c r="D25" s="68"/>
      <c r="E25" s="24">
        <v>1</v>
      </c>
      <c r="F25" s="8" t="s">
        <v>22</v>
      </c>
      <c r="G25" s="69">
        <v>1.2523481527864746</v>
      </c>
      <c r="H25" s="8"/>
      <c r="I25" s="8"/>
      <c r="J25" s="10">
        <f>D25*G25</f>
        <v>0</v>
      </c>
      <c r="K25" s="70">
        <f>K12</f>
        <v>5.7758122136911103E-2</v>
      </c>
      <c r="L25" s="70">
        <f>(SUM(J25:J26))/B6</f>
        <v>4.9945804342612823E-2</v>
      </c>
    </row>
    <row r="26" spans="1:13" ht="15" thickBot="1" x14ac:dyDescent="0.35">
      <c r="A26" s="65" t="s">
        <v>55</v>
      </c>
      <c r="B26" s="12"/>
      <c r="C26" s="12"/>
      <c r="D26" s="53">
        <v>483748</v>
      </c>
      <c r="E26" s="26">
        <v>1</v>
      </c>
      <c r="F26" s="12" t="s">
        <v>22</v>
      </c>
      <c r="G26" s="62">
        <v>1.2523481527864746</v>
      </c>
      <c r="H26" s="12"/>
      <c r="I26" s="12"/>
      <c r="J26" s="14">
        <f>D26*G26</f>
        <v>605820.91421415156</v>
      </c>
      <c r="K26" s="28"/>
      <c r="L26" s="28"/>
    </row>
    <row r="27" spans="1:13" x14ac:dyDescent="0.3">
      <c r="A27" s="8" t="s">
        <v>8</v>
      </c>
      <c r="B27" s="9" t="s">
        <v>50</v>
      </c>
      <c r="C27" s="9" t="s">
        <v>51</v>
      </c>
      <c r="D27" s="47">
        <v>-50</v>
      </c>
      <c r="E27" s="24">
        <v>-125000</v>
      </c>
      <c r="F27" s="8" t="s">
        <v>5</v>
      </c>
      <c r="G27" s="8"/>
      <c r="H27" s="8"/>
      <c r="I27" s="8"/>
      <c r="J27" s="10">
        <f>-J22</f>
        <v>-6531874.9999999991</v>
      </c>
      <c r="K27" s="66">
        <f>SUM(K13:K16)</f>
        <v>0.29783253684190025</v>
      </c>
      <c r="L27" s="21">
        <f>SUM(J27:J31)/$B$6</f>
        <v>0.30320242396930425</v>
      </c>
    </row>
    <row r="28" spans="1:13" x14ac:dyDescent="0.3">
      <c r="A28" s="6" t="s">
        <v>13</v>
      </c>
      <c r="B28" s="6"/>
      <c r="C28" s="6"/>
      <c r="D28" s="50">
        <v>1961513.8</v>
      </c>
      <c r="E28" s="24">
        <v>1</v>
      </c>
      <c r="F28" s="8" t="s">
        <v>5</v>
      </c>
      <c r="G28" s="8"/>
      <c r="H28" s="5"/>
      <c r="I28" s="5"/>
      <c r="J28" s="7">
        <f>D28</f>
        <v>1961513.8</v>
      </c>
      <c r="K28" s="5"/>
      <c r="L28" s="5"/>
    </row>
    <row r="29" spans="1:13" x14ac:dyDescent="0.3">
      <c r="A29" s="6" t="s">
        <v>14</v>
      </c>
      <c r="B29" s="6"/>
      <c r="C29" s="6"/>
      <c r="D29" s="50">
        <v>9572052.9299999997</v>
      </c>
      <c r="E29" s="24">
        <v>1</v>
      </c>
      <c r="F29" s="8" t="s">
        <v>5</v>
      </c>
      <c r="G29" s="8"/>
      <c r="H29" s="5"/>
      <c r="I29" s="5"/>
      <c r="J29" s="7">
        <f>D29-J26-J24</f>
        <v>7644877.7458708817</v>
      </c>
      <c r="K29" s="5"/>
      <c r="L29" s="5"/>
    </row>
    <row r="30" spans="1:13" x14ac:dyDescent="0.3">
      <c r="A30" s="39"/>
      <c r="B30" s="39"/>
      <c r="C30" s="39"/>
      <c r="D30" s="59"/>
      <c r="E30" s="61"/>
      <c r="F30" s="5"/>
      <c r="G30" s="5"/>
      <c r="H30" s="23"/>
      <c r="I30" s="23"/>
      <c r="J30" s="60"/>
      <c r="K30" s="23"/>
      <c r="L30" s="23"/>
    </row>
    <row r="31" spans="1:13" ht="15" thickBot="1" x14ac:dyDescent="0.35">
      <c r="A31" s="13" t="s">
        <v>23</v>
      </c>
      <c r="B31" s="13"/>
      <c r="C31" s="13"/>
      <c r="D31" s="31">
        <v>603197.17000000004</v>
      </c>
      <c r="E31" s="26">
        <v>1</v>
      </c>
      <c r="F31" s="12" t="s">
        <v>5</v>
      </c>
      <c r="G31" s="12"/>
      <c r="H31" s="12"/>
      <c r="I31" s="12"/>
      <c r="J31" s="14">
        <f>D31</f>
        <v>603197.17000000004</v>
      </c>
      <c r="K31" s="12"/>
      <c r="L31" s="12"/>
    </row>
    <row r="32" spans="1:13" ht="15" thickBot="1" x14ac:dyDescent="0.35">
      <c r="A32" s="1"/>
      <c r="B32" s="1"/>
      <c r="C32" s="1"/>
      <c r="D32" s="37"/>
      <c r="E32" s="1"/>
      <c r="J32" s="34">
        <f>SUM(J22:J31)</f>
        <v>12136763.9</v>
      </c>
      <c r="K32" s="43">
        <f>SUM(K22:K31)</f>
        <v>0.99999999999999944</v>
      </c>
      <c r="L32" s="43">
        <f>SUM(L22:L31)</f>
        <v>1.0005934441669142</v>
      </c>
    </row>
    <row r="33" spans="1:12" x14ac:dyDescent="0.3">
      <c r="A33" s="1"/>
      <c r="B33" s="37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3" t="s">
        <v>16</v>
      </c>
    </row>
    <row r="36" spans="1:12" ht="29.4" thickBot="1" x14ac:dyDescent="0.35">
      <c r="A36" s="16"/>
      <c r="B36" s="17" t="s">
        <v>7</v>
      </c>
      <c r="C36" s="17" t="s">
        <v>0</v>
      </c>
      <c r="D36" s="11" t="s">
        <v>18</v>
      </c>
      <c r="E36" s="11" t="s">
        <v>9</v>
      </c>
      <c r="F36" s="11" t="s">
        <v>3</v>
      </c>
      <c r="G36" s="11"/>
      <c r="H36" s="11" t="s">
        <v>6</v>
      </c>
      <c r="I36" s="18"/>
      <c r="J36" s="15" t="s">
        <v>17</v>
      </c>
      <c r="K36" s="20" t="s">
        <v>11</v>
      </c>
      <c r="L36" s="20" t="s">
        <v>10</v>
      </c>
    </row>
    <row r="37" spans="1:12" x14ac:dyDescent="0.3">
      <c r="A37" s="23" t="s">
        <v>8</v>
      </c>
      <c r="B37" s="39" t="s">
        <v>50</v>
      </c>
      <c r="C37" s="39" t="s">
        <v>51</v>
      </c>
      <c r="D37" s="24">
        <v>50</v>
      </c>
      <c r="E37" s="24">
        <v>125000</v>
      </c>
      <c r="F37" s="5" t="s">
        <v>5</v>
      </c>
      <c r="G37" s="23"/>
      <c r="H37" s="32">
        <v>1.0450999999999999</v>
      </c>
      <c r="I37" s="23"/>
      <c r="J37" s="7">
        <f>J22</f>
        <v>6531874.9999999991</v>
      </c>
      <c r="K37" s="27">
        <f>SUM(K10:K11)</f>
        <v>0.64440934102118808</v>
      </c>
      <c r="L37" s="25">
        <f>SUM(J37:J39)/$B$6</f>
        <v>0.64744521585499715</v>
      </c>
    </row>
    <row r="38" spans="1:12" x14ac:dyDescent="0.3">
      <c r="A38" s="5" t="s">
        <v>52</v>
      </c>
      <c r="B38" s="5"/>
      <c r="C38" s="5"/>
      <c r="D38" s="73">
        <v>0</v>
      </c>
      <c r="E38" s="61"/>
      <c r="F38" s="5" t="s">
        <v>4</v>
      </c>
      <c r="G38" s="5"/>
      <c r="H38" s="5"/>
      <c r="I38" s="5"/>
      <c r="J38" s="73">
        <f>J23</f>
        <v>0</v>
      </c>
      <c r="K38" s="27"/>
      <c r="L38" s="25"/>
    </row>
    <row r="39" spans="1:12" ht="15" thickBot="1" x14ac:dyDescent="0.35">
      <c r="A39" s="12" t="s">
        <v>53</v>
      </c>
      <c r="B39" s="12"/>
      <c r="C39" s="12"/>
      <c r="D39" s="30">
        <v>1266452</v>
      </c>
      <c r="E39" s="26"/>
      <c r="F39" s="12" t="s">
        <v>4</v>
      </c>
      <c r="G39" s="12"/>
      <c r="H39" s="12"/>
      <c r="I39" s="12"/>
      <c r="J39" s="30">
        <f>J24</f>
        <v>1321354.2699149668</v>
      </c>
      <c r="K39" s="28"/>
      <c r="L39" s="29"/>
    </row>
    <row r="40" spans="1:12" x14ac:dyDescent="0.3">
      <c r="A40" s="8" t="s">
        <v>54</v>
      </c>
      <c r="B40" s="8"/>
      <c r="C40" s="8"/>
      <c r="D40" s="74">
        <v>0</v>
      </c>
      <c r="E40" s="24"/>
      <c r="F40" s="8" t="s">
        <v>22</v>
      </c>
      <c r="G40" s="8"/>
      <c r="H40" s="8"/>
      <c r="I40" s="8"/>
      <c r="J40" s="74">
        <f>J25</f>
        <v>0</v>
      </c>
      <c r="K40" s="70">
        <f>K12</f>
        <v>5.7758122136911103E-2</v>
      </c>
      <c r="L40" s="70">
        <f>(SUM(J40:J41))/$B$6</f>
        <v>4.9945804342612823E-2</v>
      </c>
    </row>
    <row r="41" spans="1:12" ht="15" thickBot="1" x14ac:dyDescent="0.35">
      <c r="A41" s="12" t="s">
        <v>55</v>
      </c>
      <c r="B41" s="12"/>
      <c r="C41" s="12"/>
      <c r="D41" s="30">
        <v>483748</v>
      </c>
      <c r="E41" s="26"/>
      <c r="F41" s="12" t="s">
        <v>22</v>
      </c>
      <c r="G41" s="12"/>
      <c r="H41" s="12"/>
      <c r="I41" s="12"/>
      <c r="J41" s="30">
        <f>J26</f>
        <v>605820.91421415156</v>
      </c>
      <c r="K41" s="28"/>
      <c r="L41" s="28"/>
    </row>
    <row r="42" spans="1:12" ht="15" thickBot="1" x14ac:dyDescent="0.35">
      <c r="A42" s="64" t="s">
        <v>24</v>
      </c>
      <c r="B42" s="64"/>
      <c r="C42" s="64"/>
      <c r="D42" s="71"/>
      <c r="E42" s="41"/>
      <c r="F42" s="40" t="s">
        <v>5</v>
      </c>
      <c r="G42" s="40"/>
      <c r="H42" s="40"/>
      <c r="I42" s="40"/>
      <c r="J42" s="42">
        <f>SUM(J27,J28,J29,J31)</f>
        <v>3677713.7158708824</v>
      </c>
      <c r="K42" s="72">
        <f>K27</f>
        <v>0.29783253684190025</v>
      </c>
      <c r="L42" s="72">
        <f>L27</f>
        <v>0.30320242396930425</v>
      </c>
    </row>
    <row r="43" spans="1:12" ht="15" thickBot="1" x14ac:dyDescent="0.35">
      <c r="A43" s="1"/>
      <c r="B43" s="1"/>
      <c r="C43" s="1"/>
      <c r="D43" s="1"/>
      <c r="E43" s="1"/>
      <c r="J43" s="34">
        <f>SUM(J37:J42)</f>
        <v>12136763.899999999</v>
      </c>
      <c r="K43" s="43">
        <f>SUM(K37:K42)</f>
        <v>0.99999999999999944</v>
      </c>
      <c r="L43" s="43">
        <f>SUM(L37:L42)</f>
        <v>1.0005934441669142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2025-02-14T12:33:19Z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