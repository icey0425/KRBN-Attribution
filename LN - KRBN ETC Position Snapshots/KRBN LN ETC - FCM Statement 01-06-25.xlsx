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627AA0F-3EA6-4F1E-A5EF-77644EBBB919}" xr6:coauthVersionLast="47" xr6:coauthVersionMax="47" xr10:uidLastSave="{EC7539A4-290C-46E1-B707-FB75A3416EB0}"/>
  <bookViews>
    <workbookView xWindow="30270" yWindow="3825" windowWidth="2209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<sst xmlns="http://schemas.openxmlformats.org/spreadsheetml/2006/main" count="103" uniqueCount="56">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</sst>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45663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12126392.25</v>
      </c>
      <c r="J6" t="s">
        <v>25</v>
      </c>
    </row>
    <row r="7" spans="1:12" x14ac:dyDescent="0.3">
      <c r="J7" s="58">
        <f>(D28+D29)/B6</f>
        <v>0.94979513465763066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1.0394037979814779</v>
      </c>
      <c r="H10" s="50">
        <v>74.36</v>
      </c>
      <c r="I10" s="5"/>
      <c r="J10" s="10">
        <f>D10*E10*G10*H10</f>
        <v>6646945.711939631</v>
      </c>
      <c r="K10" s="55">
        <v>0.560316022366387</v>
      </c>
      <c r="L10" s="21">
        <f t="shared" ref="L10:L15" si="0">J10/$B$6</f>
        <v>0.54813876830840857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1.0394037979814779</v>
      </c>
      <c r="H11" s="50">
        <v>76.59</v>
      </c>
      <c r="I11" s="5"/>
      <c r="J11" s="10">
        <f t="shared" ref="J11:J12" si="1">D11*E11*G11*H11</f>
        <v>636863.49509921123</v>
      </c>
      <c r="K11" s="55">
        <v>5.0968667667141601E-2</v>
      </c>
      <c r="L11" s="21">
        <f t="shared" si="0"/>
        <v>5.2518793881107653E-2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1.2509538523123882</v>
      </c>
      <c r="H12" s="50">
        <v>35.549999999999997</v>
      </c>
      <c r="I12" s="5"/>
      <c r="J12" s="10">
        <f t="shared" si="1"/>
        <v>533656.91339646478</v>
      </c>
      <c r="K12" s="55">
        <v>4.4498629410764601E-2</v>
      </c>
      <c r="L12" s="21">
        <f t="shared" si="0"/>
        <v>4.4007888116637889E-2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36.82</v>
      </c>
      <c r="I13" s="5"/>
      <c r="J13" s="10">
        <f>D13*E13*H13</f>
        <v>2319660</v>
      </c>
      <c r="K13" s="55">
        <v>0.199080666860974</v>
      </c>
      <c r="L13" s="21">
        <f t="shared" si="0"/>
        <v>0.19129020010052866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39.08</v>
      </c>
      <c r="I14" s="5"/>
      <c r="J14" s="10">
        <f>D14*E14*H14</f>
        <v>625280</v>
      </c>
      <c r="K14" s="55">
        <v>4.9871237774257102E-2</v>
      </c>
      <c r="L14" s="21">
        <f t="shared" ref="L14" si="2">J14/$B$6</f>
        <v>5.1563563763162949E-2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23.9</v>
      </c>
      <c r="I15" s="5"/>
      <c r="J15" s="10">
        <f>D15*E15*H15</f>
        <v>573600</v>
      </c>
      <c r="K15" s="55">
        <v>4.94604750562413E-2</v>
      </c>
      <c r="L15" s="21">
        <f t="shared" si="0"/>
        <v>4.7301785079564784E-2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56.01</v>
      </c>
      <c r="I16" s="12"/>
      <c r="J16" s="14">
        <f>D16*E16*H16</f>
        <v>560100</v>
      </c>
      <c r="K16" s="56">
        <v>4.5804300864233399E-2</v>
      </c>
      <c r="L16" s="21">
        <f>J16/$B$6</f>
        <v>4.6188510849135694E-2</v>
      </c>
    </row>
    <row r="17" spans="1:13" ht="15" thickBot="1" x14ac:dyDescent="0.35">
      <c r="J17" s="34">
        <f>SUM(J10:J16)</f>
        <v>11896106.120435307</v>
      </c>
      <c r="K17" s="35">
        <f>SUM(K10:K16)</f>
        <v>0.999999999999999</v>
      </c>
      <c r="L17" s="36">
        <f>SUM(L10:L16)</f>
        <v>0.9810095100985462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1.0419</v>
      </c>
      <c r="I22" s="23"/>
      <c r="J22" s="7">
        <f>D22*E22*H22</f>
        <v>6511875</v>
      </c>
      <c r="K22" s="27">
        <f>SUM(K10:K11)</f>
        <v>0.61128469003352859</v>
      </c>
      <c r="L22" s="25">
        <f>SUM(J22:J24)/$B$6</f>
        <v>0.61583598551342089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1.0394037979814779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919752</v>
      </c>
      <c r="E24" s="26">
        <v>1</v>
      </c>
      <c r="F24" s="12" t="s">
        <v>4</v>
      </c>
      <c r="G24" s="62">
        <v>1.0394037979814779</v>
      </c>
      <c r="H24" s="12"/>
      <c r="I24" s="12"/>
      <c r="J24" s="14">
        <f>D24*G24</f>
        <v>955993.72200106026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1.2509538523123882</v>
      </c>
      <c r="H25" s="8"/>
      <c r="I25" s="8"/>
      <c r="J25" s="10">
        <f>D25*G25</f>
        <v>0</v>
      </c>
      <c r="K25" s="70">
        <f>K12</f>
        <v>4.4498629410764601E-2</v>
      </c>
      <c r="L25" s="70">
        <f>(SUM(J25:J26))/B6</f>
        <v>3.6892763739749125E-2</v>
      </c>
    </row>
    <row r="26" spans="1:13" ht="15" thickBot="1" x14ac:dyDescent="0.35">
      <c r="A26" s="65" t="s">
        <v>55</v>
      </c>
      <c r="B26" s="12"/>
      <c r="C26" s="12"/>
      <c r="D26" s="53">
        <v>357628</v>
      </c>
      <c r="E26" s="26">
        <v>1</v>
      </c>
      <c r="F26" s="12" t="s">
        <v>22</v>
      </c>
      <c r="G26" s="62">
        <v>1.2509538523123882</v>
      </c>
      <c r="H26" s="12"/>
      <c r="I26" s="12"/>
      <c r="J26" s="14">
        <f>D26*G26</f>
        <v>447376.12429477478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-6511875</v>
      </c>
      <c r="K27" s="66">
        <f>SUM(K13:K16)</f>
        <v>0.34421668055570576</v>
      </c>
      <c r="L27" s="21">
        <f>SUM(J27:J31)/$B$6</f>
        <v>0.34794125876178589</v>
      </c>
    </row>
    <row r="28" spans="1:13" x14ac:dyDescent="0.3">
      <c r="A28" s="6" t="s">
        <v>13</v>
      </c>
      <c r="B28" s="6"/>
      <c r="C28" s="6"/>
      <c r="D28" s="50">
        <v>1928880.58</v>
      </c>
      <c r="E28" s="24">
        <v>1</v>
      </c>
      <c r="F28" s="8" t="s">
        <v>5</v>
      </c>
      <c r="G28" s="8"/>
      <c r="H28" s="5"/>
      <c r="I28" s="5"/>
      <c r="J28" s="7">
        <f>D28</f>
        <v>1928880.58</v>
      </c>
      <c r="K28" s="5"/>
      <c r="L28" s="5"/>
    </row>
    <row r="29" spans="1:13" x14ac:dyDescent="0.3">
      <c r="A29" s="6" t="s">
        <v>14</v>
      </c>
      <c r="B29" s="6"/>
      <c r="C29" s="6"/>
      <c r="D29" s="50">
        <v>9588707.7799999993</v>
      </c>
      <c r="E29" s="24">
        <v>1</v>
      </c>
      <c r="F29" s="8" t="s">
        <v>5</v>
      </c>
      <c r="G29" s="8"/>
      <c r="H29" s="5"/>
      <c r="I29" s="5"/>
      <c r="J29" s="7">
        <f>D29-J26-J24</f>
        <v>8185337.9337041648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616928.67000000004</v>
      </c>
      <c r="E31" s="26">
        <v>1</v>
      </c>
      <c r="F31" s="12" t="s">
        <v>5</v>
      </c>
      <c r="G31" s="12"/>
      <c r="H31" s="12"/>
      <c r="I31" s="12"/>
      <c r="J31" s="14">
        <f>D31</f>
        <v>616928.67000000004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12134517.029999999</v>
      </c>
      <c r="K32" s="43">
        <f>SUM(K22:K31)</f>
        <v>0.999999999999999</v>
      </c>
      <c r="L32" s="43">
        <f>SUM(L22:L31)</f>
        <v>1.000670008014956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1.0419</v>
      </c>
      <c r="I37" s="23"/>
      <c r="J37" s="7">
        <f>J22</f>
        <v>6511875</v>
      </c>
      <c r="K37" s="27">
        <f>SUM(K10:K11)</f>
        <v>0.61128469003352859</v>
      </c>
      <c r="L37" s="25">
        <f>SUM(J37:J39)/$B$6</f>
        <v>0.61583598551342089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919752</v>
      </c>
      <c r="E39" s="26"/>
      <c r="F39" s="12" t="s">
        <v>4</v>
      </c>
      <c r="G39" s="12"/>
      <c r="H39" s="12"/>
      <c r="I39" s="12"/>
      <c r="J39" s="30">
        <f>J24</f>
        <v>955993.72200106026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4.4498629410764601E-2</v>
      </c>
      <c r="L40" s="70">
        <f>(SUM(J40:J41))/$B$6</f>
        <v>3.6892763739749125E-2</v>
      </c>
    </row>
    <row r="41" spans="1:12" ht="15" thickBot="1" x14ac:dyDescent="0.35">
      <c r="A41" s="12" t="s">
        <v>55</v>
      </c>
      <c r="B41" s="12"/>
      <c r="C41" s="12"/>
      <c r="D41" s="30">
        <v>357628</v>
      </c>
      <c r="E41" s="26"/>
      <c r="F41" s="12" t="s">
        <v>22</v>
      </c>
      <c r="G41" s="12"/>
      <c r="H41" s="12"/>
      <c r="I41" s="12"/>
      <c r="J41" s="30">
        <f>J26</f>
        <v>447376.12429477478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4219272.1837041648</v>
      </c>
      <c r="K42" s="72">
        <f>K27</f>
        <v>0.34421668055570576</v>
      </c>
      <c r="L42" s="72">
        <f>L27</f>
        <v>0.34794125876178589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12134517.029999999</v>
      </c>
      <c r="K43" s="43">
        <f>SUM(K37:K42)</f>
        <v>0.999999999999999</v>
      </c>
      <c r="L43" s="43">
        <f>SUM(L37:L42)</f>
        <v>1.000670008014956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2025-01-07T13:24:31Z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