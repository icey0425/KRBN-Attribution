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1DD3915E-653B-47E5-AE1B-400BBEF6E6D4}" xr6:coauthVersionLast="47" xr6:coauthVersionMax="47" xr10:uidLastSave="{D07D044D-61DF-46AF-AA11-BBD72AB4A133}"/>
  <bookViews>
    <workbookView xWindow="29985" yWindow="6510" windowWidth="22125" windowHeight="976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<sst xmlns="http://schemas.openxmlformats.org/spreadsheetml/2006/main" count="95" uniqueCount="50">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</sst>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46024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12173682.939999999</v>
      </c>
      <c r="J6" t="s">
        <v>25</v>
      </c>
    </row>
    <row r="7" spans="1:12" x14ac:dyDescent="0.3">
      <c r="J7" s="57">
        <f>(D26+D27)/B6</f>
        <v>0.85624559316804416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1.1751433674908338</v>
      </c>
      <c r="H10" s="49">
        <v>88.31</v>
      </c>
      <c r="I10" s="4"/>
      <c r="J10" s="9">
        <f>D10*E10*G10*H10</f>
        <v>7160606.8440349726</v>
      </c>
      <c r="K10" s="54">
        <v>0.59353289016687805</v>
      </c>
      <c r="L10" s="20">
        <f t="shared" ref="L10:L13" si="0">J10/$B$6</f>
        <v>0.58820382289625928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1.3500013500013501</v>
      </c>
      <c r="H11" s="49">
        <v>68.7</v>
      </c>
      <c r="I11" s="4"/>
      <c r="J11" s="9">
        <f t="shared" ref="J11" si="1">D11*E11*G11*H11</f>
        <v>649215.64921564935</v>
      </c>
      <c r="K11" s="54">
        <v>5.4326797312185399E-2</v>
      </c>
      <c r="L11" s="20">
        <f t="shared" si="0"/>
        <v>5.3329436327150585E-2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33.72</v>
      </c>
      <c r="I12" s="4"/>
      <c r="J12" s="9">
        <f>D12*E12*H12</f>
        <v>3034800</v>
      </c>
      <c r="K12" s="54">
        <v>0.25661463185734801</v>
      </c>
      <c r="L12" s="20">
        <f t="shared" si="0"/>
        <v>0.24929185481152347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25.86</v>
      </c>
      <c r="I13" s="4"/>
      <c r="J13" s="9">
        <f>D13*E13*H13</f>
        <v>517200</v>
      </c>
      <c r="K13" s="54">
        <v>4.2011699383831001E-2</v>
      </c>
      <c r="L13" s="20">
        <f t="shared" si="0"/>
        <v>4.2485088740121239E-2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7</v>
      </c>
      <c r="E14" s="51">
        <v>1000</v>
      </c>
      <c r="F14" s="11" t="s">
        <v>5</v>
      </c>
      <c r="G14" s="11"/>
      <c r="H14" s="52">
        <v>77</v>
      </c>
      <c r="I14" s="11"/>
      <c r="J14" s="13">
        <f>D14*E14*H14</f>
        <v>539000</v>
      </c>
      <c r="K14" s="55">
        <v>5.3513981279755603E-2</v>
      </c>
      <c r="L14" s="20">
        <f>J14/$B$6</f>
        <v>4.4275836873405548E-2</v>
      </c>
    </row>
    <row r="15" spans="1:12" ht="15" thickBot="1" x14ac:dyDescent="0.35">
      <c r="J15" s="33">
        <f>SUM(J10:J14)</f>
        <v>11900822.493250621</v>
      </c>
      <c r="K15" s="34">
        <f>SUM(K10:K14)</f>
        <v>0.999999999999998</v>
      </c>
      <c r="L15" s="35">
        <f>SUM(L10:L14)</f>
        <v>0.97758603964846014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1.17625</v>
      </c>
      <c r="I20" s="22"/>
      <c r="J20" s="6">
        <f>D20*E20*H20</f>
        <v>5293125</v>
      </c>
      <c r="K20" s="26">
        <f>SUM(K10:K10)</f>
        <v>0.59353289016687805</v>
      </c>
      <c r="L20" s="24">
        <f>SUM(J20:J22)/$B$6</f>
        <v>0.58730778411399498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1.1751433674908338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1579870</v>
      </c>
      <c r="E22" s="25">
        <v>1</v>
      </c>
      <c r="F22" s="11" t="s">
        <v>4</v>
      </c>
      <c r="G22" s="61">
        <v>1.1751433674908338</v>
      </c>
      <c r="H22" s="11"/>
      <c r="I22" s="11"/>
      <c r="J22" s="13">
        <f>D22*G22</f>
        <v>1856573.7519977435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1.3500013500013501</v>
      </c>
      <c r="H23" s="7"/>
      <c r="I23" s="7"/>
      <c r="J23" s="9">
        <f>D23*G23</f>
        <v>0</v>
      </c>
      <c r="K23" s="69">
        <f>K11</f>
        <v>5.4326797312185399E-2</v>
      </c>
      <c r="L23" s="69">
        <f>(SUM(J23:J24))/B6</f>
        <v>4.5029107121634403E-2</v>
      </c>
    </row>
    <row r="24" spans="1:13" ht="15" thickBot="1" x14ac:dyDescent="0.35">
      <c r="A24" s="64" t="s">
        <v>38</v>
      </c>
      <c r="B24" s="11"/>
      <c r="C24" s="11"/>
      <c r="D24" s="52">
        <v>406051.5</v>
      </c>
      <c r="E24" s="25">
        <v>1</v>
      </c>
      <c r="F24" s="11" t="s">
        <v>22</v>
      </c>
      <c r="G24" s="61">
        <v>1.3500013500013501</v>
      </c>
      <c r="H24" s="11"/>
      <c r="I24" s="11"/>
      <c r="J24" s="13">
        <f>D24*G24</f>
        <v>548170.07317007321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-5293125</v>
      </c>
      <c r="K25" s="65">
        <f>SUM(K12:K14)</f>
        <v>0.35214031252093458</v>
      </c>
      <c r="L25" s="20">
        <f>SUM(J25:J29)/$B$6</f>
        <v>0.3677384705102385</v>
      </c>
    </row>
    <row r="26" spans="1:13" x14ac:dyDescent="0.3">
      <c r="A26" s="5" t="s">
        <v>13</v>
      </c>
      <c r="B26" s="5"/>
      <c r="C26" s="5"/>
      <c r="D26" s="49">
        <v>1484994.94</v>
      </c>
      <c r="E26" s="23">
        <v>1</v>
      </c>
      <c r="F26" s="7" t="s">
        <v>5</v>
      </c>
      <c r="G26" s="7"/>
      <c r="H26" s="4"/>
      <c r="I26" s="4"/>
      <c r="J26" s="6">
        <f>D26</f>
        <v>1484994.94</v>
      </c>
      <c r="K26" s="4"/>
      <c r="L26" s="4"/>
    </row>
    <row r="27" spans="1:13" x14ac:dyDescent="0.3">
      <c r="A27" s="5" t="s">
        <v>14</v>
      </c>
      <c r="B27" s="5"/>
      <c r="C27" s="5"/>
      <c r="D27" s="49">
        <v>8938667.4299999997</v>
      </c>
      <c r="E27" s="23">
        <v>1</v>
      </c>
      <c r="F27" s="7" t="s">
        <v>5</v>
      </c>
      <c r="G27" s="7"/>
      <c r="H27" s="4"/>
      <c r="I27" s="4"/>
      <c r="J27" s="6">
        <f>D27-J24-J22</f>
        <v>6533923.6048321826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1750938</v>
      </c>
      <c r="E29" s="25">
        <v>1</v>
      </c>
      <c r="F29" s="11" t="s">
        <v>5</v>
      </c>
      <c r="G29" s="11"/>
      <c r="H29" s="11"/>
      <c r="I29" s="11"/>
      <c r="J29" s="13">
        <f>D29</f>
        <v>1750938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12174600.369999999</v>
      </c>
      <c r="K30" s="42">
        <f>SUM(K20:K29)</f>
        <v>0.999999999999998</v>
      </c>
      <c r="L30" s="42">
        <f>SUM(L20:L29)</f>
        <v>1.000075361745868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1.17625</v>
      </c>
      <c r="I35" s="22"/>
      <c r="J35" s="6">
        <f>J20</f>
        <v>5293125</v>
      </c>
      <c r="K35" s="26">
        <f>SUM(K10:K10)</f>
        <v>0.59353289016687805</v>
      </c>
      <c r="L35" s="24">
        <f>SUM(J35:J37)/$B$6</f>
        <v>0.58730778411399498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1579870</v>
      </c>
      <c r="E37" s="25"/>
      <c r="F37" s="11" t="s">
        <v>4</v>
      </c>
      <c r="G37" s="11"/>
      <c r="H37" s="11"/>
      <c r="I37" s="11"/>
      <c r="J37" s="29">
        <f>J22</f>
        <v>1856573.7519977435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5.4326797312185399E-2</v>
      </c>
      <c r="L38" s="69">
        <f>(SUM(J38:J39))/$B$6</f>
        <v>4.5029107121634403E-2</v>
      </c>
    </row>
    <row r="39" spans="1:12" ht="15" thickBot="1" x14ac:dyDescent="0.35">
      <c r="A39" s="11" t="s">
        <v>38</v>
      </c>
      <c r="B39" s="11"/>
      <c r="C39" s="11"/>
      <c r="D39" s="29">
        <v>406051.5</v>
      </c>
      <c r="E39" s="25"/>
      <c r="F39" s="11" t="s">
        <v>22</v>
      </c>
      <c r="G39" s="11"/>
      <c r="H39" s="11"/>
      <c r="I39" s="11"/>
      <c r="J39" s="29">
        <f>J24</f>
        <v>548170.07317007321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4476731.544832183</v>
      </c>
      <c r="K40" s="71">
        <f>K25</f>
        <v>0.35214031252093458</v>
      </c>
      <c r="L40" s="71">
        <f>L25</f>
        <v>0.3677384705102385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12174600.370000001</v>
      </c>
      <c r="K41" s="42">
        <f>SUM(K35:K40)</f>
        <v>0.999999999999998</v>
      </c>
      <c r="L41" s="42">
        <f>SUM(L35:L40)</f>
        <v>1.000075361745868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2026-01-05T13:46:46Z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