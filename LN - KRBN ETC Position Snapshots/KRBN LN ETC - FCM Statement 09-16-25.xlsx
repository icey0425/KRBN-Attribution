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BB487C2-5788-4D61-B77F-F598F6134986}" xr6:coauthVersionLast="47" xr6:coauthVersionMax="47" xr10:uidLastSave="{C854F74B-CA9F-48AB-BFA3-73C883C4A095}"/>
  <bookViews>
    <workbookView xWindow="29790" yWindow="6600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<sst xmlns="http://schemas.openxmlformats.org/spreadsheetml/2006/main" count="103" uniqueCount="56">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</sst>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9759071.6099999994</v>
      </c>
      <c r="J6" t="s">
        <v>25</v>
      </c>
    </row>
    <row r="7" spans="1:13" x14ac:dyDescent="0.3">
      <c r="J7" s="57">
        <f>(D28+D29)/B6</f>
        <v>0.97884985905949318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1.1851992319908977</v>
      </c>
      <c r="H10" s="49">
        <v>77.510000000000005</v>
      </c>
      <c r="I10" s="4"/>
      <c r="J10" s="9">
        <f>D10*E10*G10*H10</f>
        <v>5328157.9633536404</v>
      </c>
      <c r="K10" s="54">
        <v>0.55027496691775801</v>
      </c>
      <c r="L10" s="20">
        <f t="shared" ref="L10:L15" si="0">J10/$B$6</f>
        <v>0.54596975780912838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1.1851992319908977</v>
      </c>
      <c r="H11" s="49">
        <v>79.52</v>
      </c>
      <c r="I11" s="4"/>
      <c r="J11" s="9">
        <f t="shared" ref="J11:J12" si="1">D11*E11*G11*H11</f>
        <v>471235.21463958092</v>
      </c>
      <c r="K11" s="54">
        <v>5.0029070620003301E-2</v>
      </c>
      <c r="L11" s="20">
        <f t="shared" si="0"/>
        <v>4.8286889723886443E-2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1.3656538067599864</v>
      </c>
      <c r="H12" s="49">
        <v>57.47</v>
      </c>
      <c r="I12" s="4"/>
      <c r="J12" s="9">
        <f t="shared" si="1"/>
        <v>470904.7456469785</v>
      </c>
      <c r="K12" s="54">
        <v>4.9419517095566801E-2</v>
      </c>
      <c r="L12" s="20">
        <f t="shared" si="0"/>
        <v>4.8253026974865956E-2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31.97</v>
      </c>
      <c r="I13" s="4"/>
      <c r="J13" s="9">
        <f>D13*E13*H13</f>
        <v>1918200</v>
      </c>
      <c r="K13" s="54">
        <v>0.20723359721530199</v>
      </c>
      <c r="L13" s="20">
        <f t="shared" si="0"/>
        <v>0.19655558199147186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33.76</v>
      </c>
      <c r="I14" s="4"/>
      <c r="J14" s="9">
        <f>D14*E14*H14</f>
        <v>506399.99999999994</v>
      </c>
      <c r="K14" s="54">
        <v>5.1291022631877702E-2</v>
      </c>
      <c r="L14" s="20">
        <f t="shared" ref="L14" si="2">J14/$B$6</f>
        <v>5.1890181795684144E-2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21.3</v>
      </c>
      <c r="I15" s="4"/>
      <c r="J15" s="9">
        <f>D15*E15*H15</f>
        <v>447300</v>
      </c>
      <c r="K15" s="54">
        <v>4.6379958501155498E-2</v>
      </c>
      <c r="L15" s="20">
        <f t="shared" si="0"/>
        <v>4.5834277877585941E-2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61.5</v>
      </c>
      <c r="I16" s="11"/>
      <c r="J16" s="13">
        <f>D16*E16*H16</f>
        <v>430500</v>
      </c>
      <c r="K16" s="55">
        <v>4.5371867018336197E-2</v>
      </c>
      <c r="L16" s="20">
        <f>J16/$B$6</f>
        <v>4.4112802652136705E-2</v>
      </c>
    </row>
    <row r="17" spans="1:13" ht="15" thickBot="1" x14ac:dyDescent="0.35">
      <c r="J17" s="33">
        <f>SUM(J10:J16)</f>
        <v>9572697.923640199</v>
      </c>
      <c r="K17" s="34">
        <f>SUM(K10:K16)</f>
        <v>0.99999999999999944</v>
      </c>
      <c r="L17" s="35">
        <f>SUM(L10:L16)</f>
        <v>0.98090251882475943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1.1929000000000001</v>
      </c>
      <c r="I22" s="22"/>
      <c r="J22" s="6">
        <f>D22*E22*H22</f>
        <v>4473375</v>
      </c>
      <c r="K22" s="26">
        <f>SUM(K10:K11)</f>
        <v>0.60030403753776129</v>
      </c>
      <c r="L22" s="24">
        <f>SUM(J22:J24)/$B$6</f>
        <v>0.58508303991766697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1.1851992319908977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1043278</v>
      </c>
      <c r="E24" s="25">
        <v>1</v>
      </c>
      <c r="F24" s="11" t="s">
        <v>4</v>
      </c>
      <c r="G24" s="61">
        <v>1.1851992319908977</v>
      </c>
      <c r="H24" s="11"/>
      <c r="I24" s="11"/>
      <c r="J24" s="13">
        <f>D24*G24</f>
        <v>1236492.2843529999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1.3656538067599864</v>
      </c>
      <c r="H25" s="7"/>
      <c r="I25" s="7"/>
      <c r="J25" s="9">
        <f>D25*G25</f>
        <v>0</v>
      </c>
      <c r="K25" s="69">
        <f>K12</f>
        <v>4.9419517095566801E-2</v>
      </c>
      <c r="L25" s="69">
        <f>(SUM(J25:J26))/B6</f>
        <v>4.9314727907695567E-2</v>
      </c>
    </row>
    <row r="26" spans="1:13" ht="15" thickBot="1" x14ac:dyDescent="0.35">
      <c r="A26" s="64" t="s">
        <v>53</v>
      </c>
      <c r="B26" s="11"/>
      <c r="C26" s="11"/>
      <c r="D26" s="52">
        <v>352407</v>
      </c>
      <c r="E26" s="25">
        <v>1</v>
      </c>
      <c r="F26" s="11" t="s">
        <v>22</v>
      </c>
      <c r="G26" s="61">
        <v>1.3656538067599864</v>
      </c>
      <c r="H26" s="11"/>
      <c r="I26" s="11"/>
      <c r="J26" s="13">
        <f>D26*G26</f>
        <v>481265.9610788665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-4473375</v>
      </c>
      <c r="K27" s="65">
        <f>SUM(K13:K16)</f>
        <v>0.35027644536667135</v>
      </c>
      <c r="L27" s="20">
        <f>SUM(J27:J31)/$B$6</f>
        <v>0.36590278227993595</v>
      </c>
    </row>
    <row r="28" spans="1:13" x14ac:dyDescent="0.3">
      <c r="A28" s="5" t="s">
        <v>13</v>
      </c>
      <c r="B28" s="5"/>
      <c r="C28" s="5"/>
      <c r="D28" s="49">
        <v>1229413.5900000001</v>
      </c>
      <c r="E28" s="23">
        <v>1</v>
      </c>
      <c r="F28" s="7" t="s">
        <v>5</v>
      </c>
      <c r="G28" s="7"/>
      <c r="H28" s="4"/>
      <c r="I28" s="4"/>
      <c r="J28" s="6">
        <f>D28</f>
        <v>1229413.5900000001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8323252.2800000003</v>
      </c>
      <c r="E29" s="23">
        <v>1</v>
      </c>
      <c r="F29" s="7" t="s">
        <v>5</v>
      </c>
      <c r="G29" s="7"/>
      <c r="H29" s="4"/>
      <c r="I29" s="4"/>
      <c r="J29" s="6">
        <f>D29-J26-J24</f>
        <v>6605494.0345681338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9762004.7000000011</v>
      </c>
      <c r="K32" s="42">
        <f>SUM(K22:K31)</f>
        <v>0.99999999999999944</v>
      </c>
      <c r="L32" s="42">
        <f>SUM(L22:L31)</f>
        <v>1.0003005501052984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1.1929000000000001</v>
      </c>
      <c r="I37" s="22"/>
      <c r="J37" s="6">
        <f>J22</f>
        <v>4473375</v>
      </c>
      <c r="K37" s="26">
        <f>SUM(K10:K11)</f>
        <v>0.60030403753776129</v>
      </c>
      <c r="L37" s="24">
        <f>SUM(J37:J39)/$B$6</f>
        <v>0.58508303991766697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1043278</v>
      </c>
      <c r="E39" s="25"/>
      <c r="F39" s="11" t="s">
        <v>4</v>
      </c>
      <c r="G39" s="11"/>
      <c r="H39" s="11"/>
      <c r="I39" s="11"/>
      <c r="J39" s="29">
        <f>J24</f>
        <v>1236492.2843529999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4.9419517095566801E-2</v>
      </c>
      <c r="L40" s="69">
        <f>(SUM(J40:J41))/$B$6</f>
        <v>4.9314727907695567E-2</v>
      </c>
    </row>
    <row r="41" spans="1:12" ht="15" thickBot="1" x14ac:dyDescent="0.35">
      <c r="A41" s="11" t="s">
        <v>53</v>
      </c>
      <c r="B41" s="11"/>
      <c r="C41" s="11"/>
      <c r="D41" s="29">
        <v>352407</v>
      </c>
      <c r="E41" s="25"/>
      <c r="F41" s="11" t="s">
        <v>22</v>
      </c>
      <c r="G41" s="11"/>
      <c r="H41" s="11"/>
      <c r="I41" s="11"/>
      <c r="J41" s="29">
        <f>J26</f>
        <v>481265.9610788665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3570871.4545681337</v>
      </c>
      <c r="K42" s="71">
        <f>K27</f>
        <v>0.35027644536667135</v>
      </c>
      <c r="L42" s="71">
        <f>L27</f>
        <v>0.36590278227993595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9762004.6999999993</v>
      </c>
      <c r="K43" s="42">
        <f>SUM(K37:K42)</f>
        <v>0.99999999999999944</v>
      </c>
      <c r="L43" s="42">
        <f>SUM(L37:L42)</f>
        <v>1.0003005501052984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2025-09-17T11:44:33Z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