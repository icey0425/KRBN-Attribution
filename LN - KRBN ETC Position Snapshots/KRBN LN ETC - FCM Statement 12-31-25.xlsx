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BC06EBA-4666-400B-A8DC-9027C7DFB52F}" xr6:coauthVersionLast="47" xr6:coauthVersionMax="47" xr10:uidLastSave="{370F3F01-A65F-4A76-9BFB-A26884105229}"/>
  <bookViews>
    <workbookView xWindow="30090" yWindow="4935" windowWidth="22095" windowHeight="949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" l="1"/>
  <c r="K38" i="1"/>
  <c r="K35" i="1"/>
  <c r="J26" i="1"/>
  <c r="K25" i="1"/>
  <c r="K40" i="1" s="1"/>
  <c r="J24" i="1"/>
  <c r="J39" i="1" s="1"/>
  <c r="K23" i="1"/>
  <c r="J23" i="1"/>
  <c r="J22" i="1"/>
  <c r="J37" i="1" s="1"/>
  <c r="J21" i="1"/>
  <c r="J36" i="1" s="1"/>
  <c r="K20" i="1"/>
  <c r="J20" i="1"/>
  <c r="J35" i="1" s="1"/>
  <c r="K15" i="1"/>
  <c r="J14" i="1"/>
  <c r="L14" i="1" s="1"/>
  <c r="J13" i="1"/>
  <c r="L13" i="1" s="1"/>
  <c r="J12" i="1"/>
  <c r="L12" i="1" s="1"/>
  <c r="J11" i="1"/>
  <c r="L11" i="1" s="1"/>
  <c r="J10" i="1"/>
  <c r="J7" i="1"/>
  <c r="K30" i="1" l="1"/>
  <c r="J15" i="1"/>
  <c r="L23" i="1"/>
  <c r="J27" i="1"/>
  <c r="J38" i="1"/>
  <c r="L38" i="1" s="1"/>
  <c r="L10" i="1"/>
  <c r="L15" i="1" s="1"/>
  <c r="K41" i="1"/>
  <c r="L35" i="1"/>
  <c r="J25" i="1"/>
  <c r="L20" i="1"/>
  <c r="J30" i="1" l="1"/>
  <c r="J40" i="1"/>
  <c r="J41" i="1" s="1"/>
  <c r="L25" i="1"/>
  <c r="L40" i="1" s="1"/>
  <c r="L41" i="1" s="1"/>
  <c r="L30" i="1" l="1"/>
</calcChain>
</file>

<file path=xl/sharedStrings.xml><?xml version="1.0" encoding="utf-8"?>
<sst xmlns="http://schemas.openxmlformats.org/spreadsheetml/2006/main" count="95" uniqueCount="50">
  <si>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</si>
  <si>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</si>
  <si>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</si>
  <si>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</si>
  <si>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</si>
  <si>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</si>
  <si>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</si>
  <si>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</si>
  <si>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</si>
  <si>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</si>
  <si>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</si>
  <si>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</si>
  <si>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</si>
  <si>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</si>
  <si>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</si>
  <si>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</si>
  <si>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</si>
  <si>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</si>
  <si>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</si>
  <si>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</si>
  <si>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</si>
  <si>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</si>
  <si>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</si>
  <si>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</si>
  <si>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</si>
  <si>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</si>
  <si>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</si>
  <si>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KRBN LN ETC FCM Statement</t>
  </si>
  <si>
    <t>TTS23073</t>
  </si>
  <si>
    <t>EUA 26</t>
  </si>
  <si>
    <t>MOZ26 Comdty</t>
  </si>
  <si>
    <t>ICE ECX Emission  Dec26</t>
  </si>
  <si>
    <t>CCA 26</t>
  </si>
  <si>
    <t>KBCZ26 Comdty</t>
  </si>
  <si>
    <t>CCA Vintage 2026  Dec26</t>
  </si>
  <si>
    <t>EUR Cash in BBH</t>
  </si>
  <si>
    <t>EURO in CFC</t>
  </si>
  <si>
    <t>GBP Cash in BBH</t>
  </si>
  <si>
    <t>GBP in CFC</t>
  </si>
  <si>
    <t>UKA 26</t>
  </si>
  <si>
    <t>UKEZ6 Comdty</t>
  </si>
  <si>
    <t>UK Emission Allow Dec26</t>
  </si>
  <si>
    <t>RGGI 26</t>
  </si>
  <si>
    <t>RGYZ26 Comdty</t>
  </si>
  <si>
    <t>Reg GH Gas Vnt 26 Dec26</t>
  </si>
  <si>
    <t>WCA 26</t>
  </si>
  <si>
    <t>WKDZ26 Comdty</t>
  </si>
  <si>
    <t>Wsh Car All V2026 Dec26</t>
  </si>
  <si>
    <t>ECH6 Curncy</t>
  </si>
  <si>
    <t>EURO FX CURR FUT  Mar26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</si>
</sst>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1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27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28</v>
      </c>
      <c r="J2" s="43"/>
      <c r="K2" s="44"/>
      <c r="L2" s="45"/>
    </row>
    <row r="3" spans="1:12" x14ac:dyDescent="0.3">
      <c r="A3" t="s">
        <v>15</v>
      </c>
      <c r="B3" s="56">
        <v>46022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74">
        <v>0</v>
      </c>
    </row>
    <row r="6" spans="1:12" x14ac:dyDescent="0.3">
      <c r="A6" s="2" t="s">
        <v>19</v>
      </c>
      <c r="B6" s="37">
        <v>12022865.619999999</v>
      </c>
      <c r="J6" t="s">
        <v>25</v>
      </c>
    </row>
    <row r="7" spans="1:12" x14ac:dyDescent="0.3">
      <c r="J7" s="57">
        <f>(D26+D27)/B6</f>
        <v>0.85510791727538249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29</v>
      </c>
      <c r="B10" s="5" t="s">
        <v>30</v>
      </c>
      <c r="C10" s="8" t="s">
        <v>31</v>
      </c>
      <c r="D10" s="48">
        <v>69</v>
      </c>
      <c r="E10" s="46">
        <v>1000</v>
      </c>
      <c r="F10" s="4" t="s">
        <v>4</v>
      </c>
      <c r="G10" s="62">
        <v>1.1744532919925774</v>
      </c>
      <c r="H10" s="49">
        <v>87.37</v>
      </c>
      <c r="I10" s="4"/>
      <c r="J10" s="9">
        <f>D10*E10*G10*H10</f>
        <v>7080226.9043760132</v>
      </c>
      <c r="K10" s="54">
        <v>0.594963711074739</v>
      </c>
      <c r="L10" s="20">
        <f t="shared" ref="L10:L13" si="0">J10/$B$6</f>
        <v>0.58889678452348981</v>
      </c>
    </row>
    <row r="11" spans="1:12" x14ac:dyDescent="0.3">
      <c r="A11" s="4" t="s">
        <v>39</v>
      </c>
      <c r="B11" s="5" t="s">
        <v>40</v>
      </c>
      <c r="C11" s="8" t="s">
        <v>41</v>
      </c>
      <c r="D11" s="48">
        <v>7</v>
      </c>
      <c r="E11" s="46">
        <v>1000</v>
      </c>
      <c r="F11" s="4" t="s">
        <v>22</v>
      </c>
      <c r="G11" s="62">
        <v>1.3450441847014676</v>
      </c>
      <c r="H11" s="49">
        <v>67.069999999999993</v>
      </c>
      <c r="I11" s="4"/>
      <c r="J11" s="9">
        <f t="shared" ref="J11" si="1">D11*E11*G11*H11</f>
        <v>631484.79427549196</v>
      </c>
      <c r="K11" s="54">
        <v>5.3572552833699001E-2</v>
      </c>
      <c r="L11" s="20">
        <f t="shared" si="0"/>
        <v>5.2523650703125133E-2</v>
      </c>
    </row>
    <row r="12" spans="1:12" x14ac:dyDescent="0.3">
      <c r="A12" s="4" t="s">
        <v>32</v>
      </c>
      <c r="B12" s="5" t="s">
        <v>33</v>
      </c>
      <c r="C12" s="8" t="s">
        <v>34</v>
      </c>
      <c r="D12" s="48">
        <v>90</v>
      </c>
      <c r="E12" s="46">
        <v>1000</v>
      </c>
      <c r="F12" s="4" t="s">
        <v>5</v>
      </c>
      <c r="G12" s="47"/>
      <c r="H12" s="49">
        <v>32.9</v>
      </c>
      <c r="I12" s="4"/>
      <c r="J12" s="9">
        <f>D12*E12*H12</f>
        <v>2961000</v>
      </c>
      <c r="K12" s="54">
        <v>0.253829302732067</v>
      </c>
      <c r="L12" s="20">
        <f t="shared" si="0"/>
        <v>0.24628071988714453</v>
      </c>
    </row>
    <row r="13" spans="1:12" x14ac:dyDescent="0.3">
      <c r="A13" s="4" t="s">
        <v>42</v>
      </c>
      <c r="B13" s="5" t="s">
        <v>43</v>
      </c>
      <c r="C13" s="8" t="s">
        <v>44</v>
      </c>
      <c r="D13" s="48">
        <v>20</v>
      </c>
      <c r="E13" s="46">
        <v>1000</v>
      </c>
      <c r="F13" s="4" t="s">
        <v>5</v>
      </c>
      <c r="G13" s="4"/>
      <c r="H13" s="49">
        <v>26.34</v>
      </c>
      <c r="I13" s="4"/>
      <c r="J13" s="9">
        <f>D13*E13*H13</f>
        <v>526800</v>
      </c>
      <c r="K13" s="54">
        <v>4.33819938425117E-2</v>
      </c>
      <c r="L13" s="20">
        <f t="shared" si="0"/>
        <v>4.381650902956695E-2</v>
      </c>
    </row>
    <row r="14" spans="1:12" ht="15" thickBot="1" x14ac:dyDescent="0.35">
      <c r="A14" s="11" t="s">
        <v>45</v>
      </c>
      <c r="B14" s="12" t="s">
        <v>46</v>
      </c>
      <c r="C14" s="12" t="s">
        <v>47</v>
      </c>
      <c r="D14" s="50">
        <v>7</v>
      </c>
      <c r="E14" s="51">
        <v>1000</v>
      </c>
      <c r="F14" s="11" t="s">
        <v>5</v>
      </c>
      <c r="G14" s="11"/>
      <c r="H14" s="52">
        <v>77</v>
      </c>
      <c r="I14" s="11"/>
      <c r="J14" s="13">
        <f>D14*E14*H14</f>
        <v>539000</v>
      </c>
      <c r="K14" s="55">
        <v>5.4252439516982297E-2</v>
      </c>
      <c r="L14" s="20">
        <f>J14/$B$6</f>
        <v>4.4831242154397467E-2</v>
      </c>
    </row>
    <row r="15" spans="1:12" ht="15" thickBot="1" x14ac:dyDescent="0.35">
      <c r="J15" s="33">
        <f>SUM(J10:J14)</f>
        <v>11738511.698651506</v>
      </c>
      <c r="K15" s="34">
        <f>SUM(K10:K14)</f>
        <v>0.99999999999999911</v>
      </c>
      <c r="L15" s="35">
        <f>SUM(L10:L14)</f>
        <v>0.97634890629772386</v>
      </c>
    </row>
    <row r="16" spans="1:12" x14ac:dyDescent="0.3">
      <c r="J16" s="18"/>
      <c r="K16" s="18"/>
    </row>
    <row r="17" spans="1:13" x14ac:dyDescent="0.3">
      <c r="J17" s="18"/>
      <c r="K17" s="18"/>
      <c r="L17" s="18"/>
    </row>
    <row r="18" spans="1:13" ht="15" thickBot="1" x14ac:dyDescent="0.35">
      <c r="A18" s="2" t="s">
        <v>12</v>
      </c>
    </row>
    <row r="19" spans="1:13" ht="29.4" thickBot="1" x14ac:dyDescent="0.35">
      <c r="A19" s="15"/>
      <c r="B19" s="16" t="s">
        <v>7</v>
      </c>
      <c r="C19" s="16" t="s">
        <v>0</v>
      </c>
      <c r="D19" s="10" t="s">
        <v>18</v>
      </c>
      <c r="E19" s="10" t="s">
        <v>9</v>
      </c>
      <c r="F19" s="10" t="s">
        <v>3</v>
      </c>
      <c r="G19" s="10"/>
      <c r="H19" s="10" t="s">
        <v>6</v>
      </c>
      <c r="I19" s="17"/>
      <c r="J19" s="14" t="s">
        <v>17</v>
      </c>
      <c r="K19" s="19" t="s">
        <v>11</v>
      </c>
      <c r="L19" s="19" t="s">
        <v>10</v>
      </c>
    </row>
    <row r="20" spans="1:13" x14ac:dyDescent="0.3">
      <c r="A20" s="4" t="s">
        <v>8</v>
      </c>
      <c r="B20" s="5" t="s">
        <v>48</v>
      </c>
      <c r="C20" s="5" t="s">
        <v>49</v>
      </c>
      <c r="D20" s="48">
        <v>36</v>
      </c>
      <c r="E20" s="46">
        <v>125000</v>
      </c>
      <c r="F20" s="4" t="s">
        <v>5</v>
      </c>
      <c r="G20" s="22"/>
      <c r="H20" s="53">
        <v>1.1780000000000002</v>
      </c>
      <c r="I20" s="22"/>
      <c r="J20" s="6">
        <f>D20*E20*H20</f>
        <v>5301000.0000000009</v>
      </c>
      <c r="K20" s="26">
        <f>SUM(K10:K10)</f>
        <v>0.594963711074739</v>
      </c>
      <c r="L20" s="24">
        <f>SUM(J20:J22)/$B$6</f>
        <v>0.58890356972164815</v>
      </c>
      <c r="M20" s="18"/>
    </row>
    <row r="21" spans="1:13" x14ac:dyDescent="0.3">
      <c r="A21" s="4" t="s">
        <v>35</v>
      </c>
      <c r="B21" s="5"/>
      <c r="C21" s="5"/>
      <c r="D21" s="49"/>
      <c r="E21" s="60">
        <v>1</v>
      </c>
      <c r="F21" s="4" t="s">
        <v>4</v>
      </c>
      <c r="G21" s="66">
        <v>1.1744532919925774</v>
      </c>
      <c r="H21" s="4"/>
      <c r="I21" s="4"/>
      <c r="J21" s="6">
        <f>D21*G21</f>
        <v>0</v>
      </c>
      <c r="K21" s="26"/>
      <c r="L21" s="24"/>
    </row>
    <row r="22" spans="1:13" ht="15" thickBot="1" x14ac:dyDescent="0.35">
      <c r="A22" s="64" t="s">
        <v>36</v>
      </c>
      <c r="B22" s="12"/>
      <c r="C22" s="12"/>
      <c r="D22" s="52">
        <v>1515010</v>
      </c>
      <c r="E22" s="25">
        <v>1</v>
      </c>
      <c r="F22" s="11" t="s">
        <v>4</v>
      </c>
      <c r="G22" s="61">
        <v>1.1744532919925774</v>
      </c>
      <c r="H22" s="11"/>
      <c r="I22" s="11"/>
      <c r="J22" s="13">
        <f>D22*G22</f>
        <v>1779308.4819016748</v>
      </c>
      <c r="K22" s="27"/>
      <c r="L22" s="28"/>
    </row>
    <row r="23" spans="1:13" x14ac:dyDescent="0.3">
      <c r="A23" s="7" t="s">
        <v>37</v>
      </c>
      <c r="B23" s="7"/>
      <c r="C23" s="7"/>
      <c r="D23" s="67"/>
      <c r="E23" s="23">
        <v>1</v>
      </c>
      <c r="F23" s="7" t="s">
        <v>22</v>
      </c>
      <c r="G23" s="68">
        <v>1.3450441847014676</v>
      </c>
      <c r="H23" s="7"/>
      <c r="I23" s="7"/>
      <c r="J23" s="9">
        <f>D23*G23</f>
        <v>0</v>
      </c>
      <c r="K23" s="69">
        <f>K11</f>
        <v>5.3572552833699001E-2</v>
      </c>
      <c r="L23" s="69">
        <f>(SUM(J23:J24))/B6</f>
        <v>4.4150061340938809E-2</v>
      </c>
    </row>
    <row r="24" spans="1:13" ht="15" thickBot="1" x14ac:dyDescent="0.35">
      <c r="A24" s="64" t="s">
        <v>38</v>
      </c>
      <c r="B24" s="11"/>
      <c r="C24" s="11"/>
      <c r="D24" s="52">
        <v>394641.5</v>
      </c>
      <c r="E24" s="25">
        <v>1</v>
      </c>
      <c r="F24" s="11" t="s">
        <v>22</v>
      </c>
      <c r="G24" s="61">
        <v>1.3450441847014676</v>
      </c>
      <c r="H24" s="11"/>
      <c r="I24" s="11"/>
      <c r="J24" s="13">
        <f>D24*G24</f>
        <v>530810.25461686426</v>
      </c>
      <c r="K24" s="27"/>
      <c r="L24" s="27"/>
    </row>
    <row r="25" spans="1:13" x14ac:dyDescent="0.3">
      <c r="A25" s="7" t="s">
        <v>8</v>
      </c>
      <c r="B25" s="8" t="s">
        <v>48</v>
      </c>
      <c r="C25" s="8" t="s">
        <v>49</v>
      </c>
      <c r="D25" s="46">
        <v>-36</v>
      </c>
      <c r="E25" s="23">
        <v>-125000</v>
      </c>
      <c r="F25" s="7" t="s">
        <v>5</v>
      </c>
      <c r="G25" s="7"/>
      <c r="H25" s="7"/>
      <c r="I25" s="7"/>
      <c r="J25" s="9">
        <f>-J20</f>
        <v>-5301000.0000000009</v>
      </c>
      <c r="K25" s="65">
        <f>SUM(K12:K14)</f>
        <v>0.35146373609156095</v>
      </c>
      <c r="L25" s="20">
        <f>SUM(J25:J29)/$B$6</f>
        <v>0.36768828523939384</v>
      </c>
    </row>
    <row r="26" spans="1:13" x14ac:dyDescent="0.3">
      <c r="A26" s="5" t="s">
        <v>13</v>
      </c>
      <c r="B26" s="5"/>
      <c r="C26" s="5"/>
      <c r="D26" s="49">
        <v>1476636.45</v>
      </c>
      <c r="E26" s="23">
        <v>1</v>
      </c>
      <c r="F26" s="7" t="s">
        <v>5</v>
      </c>
      <c r="G26" s="7"/>
      <c r="H26" s="4"/>
      <c r="I26" s="4"/>
      <c r="J26" s="6">
        <f>D26</f>
        <v>1476636.45</v>
      </c>
      <c r="K26" s="4"/>
      <c r="L26" s="4"/>
    </row>
    <row r="27" spans="1:13" x14ac:dyDescent="0.3">
      <c r="A27" s="5" t="s">
        <v>14</v>
      </c>
      <c r="B27" s="5"/>
      <c r="C27" s="5"/>
      <c r="D27" s="49">
        <v>8804211.1300000008</v>
      </c>
      <c r="E27" s="23">
        <v>1</v>
      </c>
      <c r="F27" s="7" t="s">
        <v>5</v>
      </c>
      <c r="G27" s="7"/>
      <c r="H27" s="4"/>
      <c r="I27" s="4"/>
      <c r="J27" s="6">
        <f>D27-J24-J22</f>
        <v>6494092.3934814623</v>
      </c>
      <c r="K27" s="4"/>
      <c r="L27" s="4"/>
    </row>
    <row r="28" spans="1:13" x14ac:dyDescent="0.3">
      <c r="A28" s="38"/>
      <c r="B28" s="38"/>
      <c r="C28" s="38"/>
      <c r="D28" s="58"/>
      <c r="E28" s="60"/>
      <c r="F28" s="4"/>
      <c r="G28" s="4"/>
      <c r="H28" s="22"/>
      <c r="I28" s="22"/>
      <c r="J28" s="59"/>
      <c r="K28" s="22"/>
      <c r="L28" s="22"/>
    </row>
    <row r="29" spans="1:13" ht="15" thickBot="1" x14ac:dyDescent="0.35">
      <c r="A29" s="12" t="s">
        <v>23</v>
      </c>
      <c r="B29" s="12"/>
      <c r="C29" s="12"/>
      <c r="D29" s="30">
        <v>1750938</v>
      </c>
      <c r="E29" s="25">
        <v>1</v>
      </c>
      <c r="F29" s="11" t="s">
        <v>5</v>
      </c>
      <c r="G29" s="11"/>
      <c r="H29" s="11"/>
      <c r="I29" s="11"/>
      <c r="J29" s="13">
        <f>D29</f>
        <v>1750938</v>
      </c>
      <c r="K29" s="11"/>
      <c r="L29" s="11"/>
    </row>
    <row r="30" spans="1:13" ht="15" thickBot="1" x14ac:dyDescent="0.35">
      <c r="A30" s="1"/>
      <c r="B30" s="1"/>
      <c r="C30" s="1"/>
      <c r="D30" s="36"/>
      <c r="E30" s="1"/>
      <c r="J30" s="33">
        <f>SUM(J20:J29)</f>
        <v>12031785.580000002</v>
      </c>
      <c r="K30" s="42">
        <f>SUM(K20:K29)</f>
        <v>0.99999999999999889</v>
      </c>
      <c r="L30" s="42">
        <f>SUM(L20:L29)</f>
        <v>1.0007419163019808</v>
      </c>
    </row>
    <row r="31" spans="1:13" x14ac:dyDescent="0.3">
      <c r="A31" s="1"/>
      <c r="B31" s="36"/>
      <c r="C31" s="1"/>
      <c r="D31" s="1"/>
      <c r="E31" s="1"/>
    </row>
    <row r="32" spans="1:13" x14ac:dyDescent="0.3">
      <c r="A32" s="1"/>
      <c r="B32" s="1"/>
      <c r="C32" s="1"/>
      <c r="D32" s="1"/>
      <c r="E32" s="1"/>
    </row>
    <row r="33" spans="1:12" ht="15" thickBot="1" x14ac:dyDescent="0.35">
      <c r="A33" s="2" t="s">
        <v>16</v>
      </c>
    </row>
    <row r="34" spans="1:12" ht="29.4" thickBot="1" x14ac:dyDescent="0.35">
      <c r="A34" s="15"/>
      <c r="B34" s="16" t="s">
        <v>7</v>
      </c>
      <c r="C34" s="16" t="s">
        <v>0</v>
      </c>
      <c r="D34" s="10" t="s">
        <v>18</v>
      </c>
      <c r="E34" s="10" t="s">
        <v>9</v>
      </c>
      <c r="F34" s="10" t="s">
        <v>3</v>
      </c>
      <c r="G34" s="10"/>
      <c r="H34" s="10" t="s">
        <v>6</v>
      </c>
      <c r="I34" s="17"/>
      <c r="J34" s="14" t="s">
        <v>17</v>
      </c>
      <c r="K34" s="19" t="s">
        <v>11</v>
      </c>
      <c r="L34" s="19" t="s">
        <v>10</v>
      </c>
    </row>
    <row r="35" spans="1:12" x14ac:dyDescent="0.3">
      <c r="A35" s="22" t="s">
        <v>8</v>
      </c>
      <c r="B35" s="38" t="s">
        <v>48</v>
      </c>
      <c r="C35" s="38" t="s">
        <v>49</v>
      </c>
      <c r="D35" s="23">
        <v>36</v>
      </c>
      <c r="E35" s="23">
        <v>125000</v>
      </c>
      <c r="F35" s="4" t="s">
        <v>5</v>
      </c>
      <c r="G35" s="22"/>
      <c r="H35" s="31">
        <v>1.1780000000000002</v>
      </c>
      <c r="I35" s="22"/>
      <c r="J35" s="6">
        <f>J20</f>
        <v>5301000.0000000009</v>
      </c>
      <c r="K35" s="26">
        <f>SUM(K10:K10)</f>
        <v>0.594963711074739</v>
      </c>
      <c r="L35" s="24">
        <f>SUM(J35:J37)/$B$6</f>
        <v>0.58890356972164815</v>
      </c>
    </row>
    <row r="36" spans="1:12" x14ac:dyDescent="0.3">
      <c r="A36" s="4" t="s">
        <v>35</v>
      </c>
      <c r="B36" s="4"/>
      <c r="C36" s="4"/>
      <c r="D36" s="72">
        <v>0</v>
      </c>
      <c r="E36" s="60"/>
      <c r="F36" s="4" t="s">
        <v>4</v>
      </c>
      <c r="G36" s="4"/>
      <c r="H36" s="4"/>
      <c r="I36" s="4"/>
      <c r="J36" s="72">
        <f>J21</f>
        <v>0</v>
      </c>
      <c r="K36" s="26"/>
      <c r="L36" s="24"/>
    </row>
    <row r="37" spans="1:12" ht="15" thickBot="1" x14ac:dyDescent="0.35">
      <c r="A37" s="11" t="s">
        <v>36</v>
      </c>
      <c r="B37" s="11"/>
      <c r="C37" s="11"/>
      <c r="D37" s="29">
        <v>1515010</v>
      </c>
      <c r="E37" s="25"/>
      <c r="F37" s="11" t="s">
        <v>4</v>
      </c>
      <c r="G37" s="11"/>
      <c r="H37" s="11"/>
      <c r="I37" s="11"/>
      <c r="J37" s="29">
        <f>J22</f>
        <v>1779308.4819016748</v>
      </c>
      <c r="K37" s="27"/>
      <c r="L37" s="28"/>
    </row>
    <row r="38" spans="1:12" x14ac:dyDescent="0.3">
      <c r="A38" s="7" t="s">
        <v>37</v>
      </c>
      <c r="B38" s="7"/>
      <c r="C38" s="7"/>
      <c r="D38" s="73">
        <v>0</v>
      </c>
      <c r="E38" s="23"/>
      <c r="F38" s="7" t="s">
        <v>22</v>
      </c>
      <c r="G38" s="7"/>
      <c r="H38" s="7"/>
      <c r="I38" s="7"/>
      <c r="J38" s="73">
        <f>J23</f>
        <v>0</v>
      </c>
      <c r="K38" s="69">
        <f>K11</f>
        <v>5.3572552833699001E-2</v>
      </c>
      <c r="L38" s="69">
        <f>(SUM(J38:J39))/$B$6</f>
        <v>4.4150061340938809E-2</v>
      </c>
    </row>
    <row r="39" spans="1:12" ht="15" thickBot="1" x14ac:dyDescent="0.35">
      <c r="A39" s="11" t="s">
        <v>38</v>
      </c>
      <c r="B39" s="11"/>
      <c r="C39" s="11"/>
      <c r="D39" s="29">
        <v>394641.5</v>
      </c>
      <c r="E39" s="25"/>
      <c r="F39" s="11" t="s">
        <v>22</v>
      </c>
      <c r="G39" s="11"/>
      <c r="H39" s="11"/>
      <c r="I39" s="11"/>
      <c r="J39" s="29">
        <f>J24</f>
        <v>530810.25461686426</v>
      </c>
      <c r="K39" s="27"/>
      <c r="L39" s="27"/>
    </row>
    <row r="40" spans="1:12" ht="15" thickBot="1" x14ac:dyDescent="0.35">
      <c r="A40" s="63" t="s">
        <v>24</v>
      </c>
      <c r="B40" s="63"/>
      <c r="C40" s="63"/>
      <c r="D40" s="70"/>
      <c r="E40" s="40"/>
      <c r="F40" s="39" t="s">
        <v>5</v>
      </c>
      <c r="G40" s="39"/>
      <c r="H40" s="39"/>
      <c r="I40" s="39"/>
      <c r="J40" s="41">
        <f>SUM(J25,J26,J27,J29)</f>
        <v>4420666.8434814615</v>
      </c>
      <c r="K40" s="71">
        <f>K25</f>
        <v>0.35146373609156095</v>
      </c>
      <c r="L40" s="71">
        <f>L25</f>
        <v>0.36768828523939384</v>
      </c>
    </row>
    <row r="41" spans="1:12" ht="15" thickBot="1" x14ac:dyDescent="0.35">
      <c r="A41" s="1"/>
      <c r="B41" s="1"/>
      <c r="C41" s="1"/>
      <c r="D41" s="1"/>
      <c r="E41" s="1"/>
      <c r="J41" s="33">
        <f>SUM(J35:J40)</f>
        <v>12031785.580000002</v>
      </c>
      <c r="K41" s="42">
        <f>SUM(K35:K40)</f>
        <v>0.99999999999999889</v>
      </c>
      <c r="L41" s="42">
        <f>SUM(L35:L40)</f>
        <v>1.0007419163019808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2026-01-02T12:41:16Z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