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6" documentId="8_{5BFBC85E-1744-40CF-B0E4-2EF48B06F386}" xr6:coauthVersionLast="47" xr6:coauthVersionMax="47" xr10:uidLastSave="{38C4504C-4D99-4416-9D84-8063248B3B9F}"/>
  <bookViews>
    <workbookView xWindow="30780" yWindow="4650" windowWidth="2212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<sst xmlns="http://schemas.openxmlformats.org/spreadsheetml/2006/main" count="95" uniqueCount="54">
  <si>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</si>
  <si>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</si>
  <si>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</si>
  <si>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</si>
  <si>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</si>
  <si>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</si>
  <si>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</si>
  <si>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</si>
  <si>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</si>
  <si>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</si>
  <si>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</si>
  <si>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</si>
  <si>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</si>
  <si>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</si>
  <si>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</si>
  <si>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</si>
  <si>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</si>
  <si>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</si>
  <si>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</si>
  <si>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</si>
  <si>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</si>
  <si>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</si>
  <si>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</si>
  <si>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</si>
  <si>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</si>
  <si>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</si>
  <si>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</si>
  <si>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</si>
  <si>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</si>
  <si>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</si>
  <si>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</si>
  <si>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</si>
  <si>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</si>
  <si>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</si>
  <si>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</si>
  <si>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ECZ4 Curncy</t>
  </si>
  <si>
    <t>EURO FX CURR FUT  Dec24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</si>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</sst>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37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38</v>
      </c>
      <c r="J2" s="48"/>
      <c r="K2" s="49"/>
      <c r="L2" s="50"/>
    </row>
    <row r="3" spans="1:12" x14ac:dyDescent="0.3">
      <c r="A3" t="s">
        <v>15</v>
      </c>
      <c r="B3" s="62">
        <v>45628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11921972.470000001</v>
      </c>
      <c r="J6" t="s">
        <v>27</v>
      </c>
    </row>
    <row r="7" spans="1:12" x14ac:dyDescent="0.3">
      <c r="J7" s="63">
        <f>(D26+D27)/B6</f>
        <v>0.94721638205561132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1.0469450144478412</v>
      </c>
      <c r="H10" s="54">
        <v>70.95</v>
      </c>
      <c r="I10" s="5"/>
      <c r="J10" s="10">
        <f>D10*E10*G10*H10</f>
        <v>6388144.3946563927</v>
      </c>
      <c r="K10" s="60">
        <v>0.54975730691821101</v>
      </c>
      <c r="L10" s="21">
        <f t="shared" ref="L10:L15" si="0">J10/$B$6</f>
        <v>0.53582948717012024</v>
      </c>
    </row>
    <row r="11" spans="1:12" x14ac:dyDescent="0.3">
      <c r="A11" s="5" t="s">
        <v>39</v>
      </c>
      <c r="B11" s="6" t="s">
        <v>40</v>
      </c>
      <c r="C11" s="9" t="s">
        <v>41</v>
      </c>
      <c r="D11" s="53">
        <v>8</v>
      </c>
      <c r="E11" s="51">
        <v>1000</v>
      </c>
      <c r="F11" s="5" t="s">
        <v>4</v>
      </c>
      <c r="G11" s="70">
        <v>1.0469450144478412</v>
      </c>
      <c r="H11" s="54">
        <v>72.95</v>
      </c>
      <c r="I11" s="5"/>
      <c r="J11" s="10">
        <f t="shared" ref="J11:J12" si="1">D11*E11*G11*H11</f>
        <v>610997.1104317602</v>
      </c>
      <c r="K11" s="60">
        <v>4.9920790997452898E-2</v>
      </c>
      <c r="L11" s="21">
        <f t="shared" si="0"/>
        <v>5.1249666275379357E-2</v>
      </c>
    </row>
    <row r="12" spans="1:12" x14ac:dyDescent="0.3">
      <c r="A12" s="5" t="s">
        <v>42</v>
      </c>
      <c r="B12" s="6" t="s">
        <v>43</v>
      </c>
      <c r="C12" s="9" t="s">
        <v>44</v>
      </c>
      <c r="D12" s="53">
        <v>12</v>
      </c>
      <c r="E12" s="51">
        <v>1000</v>
      </c>
      <c r="F12" s="5" t="s">
        <v>22</v>
      </c>
      <c r="G12" s="70">
        <v>1.2628494935973531</v>
      </c>
      <c r="H12" s="54">
        <v>38.880000000000003</v>
      </c>
      <c r="I12" s="5"/>
      <c r="J12" s="10">
        <f t="shared" si="1"/>
        <v>589195.05973278114</v>
      </c>
      <c r="K12" s="60">
        <v>5.01564539554415E-2</v>
      </c>
      <c r="L12" s="21">
        <f t="shared" si="0"/>
        <v>4.9420937786545743E-2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36.200000000000003</v>
      </c>
      <c r="I13" s="5"/>
      <c r="J13" s="10">
        <f>D13*E13*H13</f>
        <v>2280600</v>
      </c>
      <c r="K13" s="60">
        <v>0.19981845409569399</v>
      </c>
      <c r="L13" s="21">
        <f t="shared" si="0"/>
        <v>0.19129384887767653</v>
      </c>
    </row>
    <row r="14" spans="1:12" x14ac:dyDescent="0.3">
      <c r="A14" s="5" t="s">
        <v>45</v>
      </c>
      <c r="B14" s="6" t="s">
        <v>46</v>
      </c>
      <c r="C14" s="9" t="s">
        <v>47</v>
      </c>
      <c r="D14" s="53">
        <v>16</v>
      </c>
      <c r="E14" s="51">
        <v>1000</v>
      </c>
      <c r="F14" s="5" t="s">
        <v>5</v>
      </c>
      <c r="G14" s="52"/>
      <c r="H14" s="54">
        <v>38.340000000000003</v>
      </c>
      <c r="I14" s="5"/>
      <c r="J14" s="10">
        <f>D14*E14*H14</f>
        <v>613440</v>
      </c>
      <c r="K14" s="60">
        <v>4.9949301837797798E-2</v>
      </c>
      <c r="L14" s="21">
        <f t="shared" ref="L14" si="2">J14/$B$6</f>
        <v>5.1454572768360032E-2</v>
      </c>
    </row>
    <row r="15" spans="1:12" x14ac:dyDescent="0.3">
      <c r="A15" s="5" t="s">
        <v>48</v>
      </c>
      <c r="B15" s="6" t="s">
        <v>49</v>
      </c>
      <c r="C15" s="9" t="s">
        <v>50</v>
      </c>
      <c r="D15" s="53">
        <v>24</v>
      </c>
      <c r="E15" s="51">
        <v>1000</v>
      </c>
      <c r="F15" s="5" t="s">
        <v>5</v>
      </c>
      <c r="G15" s="5"/>
      <c r="H15" s="54">
        <v>23.53</v>
      </c>
      <c r="I15" s="5"/>
      <c r="J15" s="10">
        <f>D15*E15*H15</f>
        <v>564720</v>
      </c>
      <c r="K15" s="60">
        <v>4.9712319953478502E-2</v>
      </c>
      <c r="L15" s="21">
        <f t="shared" si="0"/>
        <v>4.7368000674472284E-2</v>
      </c>
    </row>
    <row r="16" spans="1:12" ht="15" thickBot="1" x14ac:dyDescent="0.35">
      <c r="A16" s="12" t="s">
        <v>51</v>
      </c>
      <c r="B16" s="13" t="s">
        <v>52</v>
      </c>
      <c r="C16" s="13" t="s">
        <v>53</v>
      </c>
      <c r="D16" s="55">
        <v>10</v>
      </c>
      <c r="E16" s="56">
        <v>1000</v>
      </c>
      <c r="F16" s="12" t="s">
        <v>5</v>
      </c>
      <c r="G16" s="12"/>
      <c r="H16" s="57">
        <v>60.71</v>
      </c>
      <c r="I16" s="12"/>
      <c r="J16" s="14">
        <f>D16*E16*H16</f>
        <v>607100</v>
      </c>
      <c r="K16" s="61">
        <v>5.0685372241923397E-2</v>
      </c>
      <c r="L16" s="21">
        <f>J16/$B$6</f>
        <v>5.0922781572234246E-2</v>
      </c>
    </row>
    <row r="17" spans="1:13" ht="15" thickBot="1" x14ac:dyDescent="0.35">
      <c r="J17" s="35">
        <f>SUM(J10:J16)</f>
        <v>11654196.564820934</v>
      </c>
      <c r="K17" s="36">
        <f>SUM(K10:K16)</f>
        <v>0.99999999999999911</v>
      </c>
      <c r="L17" s="37">
        <f>SUM(L10:L16)</f>
        <v>0.97753929512478854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35</v>
      </c>
      <c r="C22" s="6" t="s">
        <v>36</v>
      </c>
      <c r="D22" s="53">
        <v>52</v>
      </c>
      <c r="E22" s="51">
        <v>125000</v>
      </c>
      <c r="F22" s="5" t="s">
        <v>5</v>
      </c>
      <c r="G22" s="23"/>
      <c r="H22" s="58">
        <v>1.04955</v>
      </c>
      <c r="I22" s="23"/>
      <c r="J22" s="7">
        <f>D22*E22*H22</f>
        <v>6822075</v>
      </c>
      <c r="K22" s="27">
        <f>SUM(K10:K11)</f>
        <v>0.59967809791566395</v>
      </c>
      <c r="L22" s="25">
        <f>SUM(J22:J23)/$B$6</f>
        <v>0.57222703853467294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1.0469450144478412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1.2628494935973531</v>
      </c>
      <c r="H24" s="41"/>
      <c r="I24" s="41"/>
      <c r="J24" s="43">
        <f>D24*G24</f>
        <v>0</v>
      </c>
      <c r="K24" s="44">
        <f>K12</f>
        <v>5.01564539554415E-2</v>
      </c>
      <c r="L24" s="44">
        <f>J24/B6</f>
        <v>0</v>
      </c>
    </row>
    <row r="25" spans="1:13" x14ac:dyDescent="0.3">
      <c r="A25" s="5" t="s">
        <v>8</v>
      </c>
      <c r="B25" s="6" t="s">
        <v>35</v>
      </c>
      <c r="C25" s="6" t="s">
        <v>36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-6822075</v>
      </c>
      <c r="K25" s="29">
        <f>SUM(K13:K16)</f>
        <v>0.35016544812889366</v>
      </c>
      <c r="L25" s="25">
        <f>SUM(J25:J29)/$B$6</f>
        <v>0.42721348441429507</v>
      </c>
    </row>
    <row r="26" spans="1:13" x14ac:dyDescent="0.3">
      <c r="A26" s="6" t="s">
        <v>13</v>
      </c>
      <c r="B26" s="6"/>
      <c r="C26" s="6"/>
      <c r="D26" s="54">
        <v>1949679.24</v>
      </c>
      <c r="E26" s="24">
        <v>1</v>
      </c>
      <c r="F26" s="8" t="s">
        <v>5</v>
      </c>
      <c r="G26" s="8"/>
      <c r="H26" s="5"/>
      <c r="I26" s="5"/>
      <c r="J26" s="7">
        <f>D26</f>
        <v>1949679.24</v>
      </c>
      <c r="K26" s="5"/>
      <c r="L26" s="5"/>
    </row>
    <row r="27" spans="1:13" x14ac:dyDescent="0.3">
      <c r="A27" s="6" t="s">
        <v>14</v>
      </c>
      <c r="B27" s="6"/>
      <c r="C27" s="6"/>
      <c r="D27" s="54">
        <v>9343008.3900000006</v>
      </c>
      <c r="E27" s="24">
        <v>1</v>
      </c>
      <c r="F27" s="8" t="s">
        <v>5</v>
      </c>
      <c r="G27" s="8"/>
      <c r="H27" s="5"/>
      <c r="I27" s="5"/>
      <c r="J27" s="7">
        <f>D27</f>
        <v>9343008.3900000006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622614.77</v>
      </c>
      <c r="E29" s="26">
        <v>1</v>
      </c>
      <c r="F29" s="12" t="s">
        <v>5</v>
      </c>
      <c r="G29" s="12"/>
      <c r="H29" s="12"/>
      <c r="I29" s="12"/>
      <c r="J29" s="14">
        <f>D29</f>
        <v>622614.77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11915302.4</v>
      </c>
      <c r="K30" s="46">
        <f>SUM(K22:K29)</f>
        <v>0.99999999999999911</v>
      </c>
      <c r="L30" s="46">
        <f>SUM(L22:L29)</f>
        <v>0.99944052294896801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35</v>
      </c>
      <c r="C35" s="40" t="s">
        <v>36</v>
      </c>
      <c r="D35" s="24">
        <v>52</v>
      </c>
      <c r="E35" s="24">
        <v>125000</v>
      </c>
      <c r="F35" s="5" t="s">
        <v>5</v>
      </c>
      <c r="G35" s="23"/>
      <c r="H35" s="33">
        <v>1.04955</v>
      </c>
      <c r="I35" s="23"/>
      <c r="J35" s="7">
        <f>J22</f>
        <v>6822075</v>
      </c>
      <c r="K35" s="27">
        <f>SUM(K10:K11)</f>
        <v>0.59967809791566395</v>
      </c>
      <c r="L35" s="25">
        <f>SUM(J35:J36)/$B$6</f>
        <v>0.57222703853467294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5.01564539554415E-2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5093227.4000000004</v>
      </c>
      <c r="K38" s="67">
        <f>K25</f>
        <v>0.35016544812889366</v>
      </c>
      <c r="L38" s="67">
        <f>L25</f>
        <v>0.42721348441429507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11915302.4</v>
      </c>
      <c r="K39" s="46">
        <f>SUM(K35:K38)</f>
        <v>0.99999999999999911</v>
      </c>
      <c r="L39" s="46">
        <f>SUM(L35:L38)</f>
        <v>0.99944052294896801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2024-12-03T14:03:58Z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