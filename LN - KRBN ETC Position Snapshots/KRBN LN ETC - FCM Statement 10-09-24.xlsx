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A0FA45A-2605-49EF-8043-432B68168C14}" xr6:coauthVersionLast="47" xr6:coauthVersionMax="47" xr10:uidLastSave="{973C292A-0D3F-4C39-B922-A7BB0439649C}"/>
  <bookViews>
    <workbookView xWindow="29880" yWindow="3930" windowWidth="2233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<sst xmlns="http://schemas.openxmlformats.org/spreadsheetml/2006/main" count="91" uniqueCount="51">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</sst>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45574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11620191.02</v>
      </c>
      <c r="J6" t="s">
        <v>27</v>
      </c>
    </row>
    <row r="7" spans="1:12" x14ac:dyDescent="0.3">
      <c r="J7" s="63">
        <f>(D25+D26)/B6</f>
        <v>0.94634617202704119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1.0947986117953601</v>
      </c>
      <c r="H10" s="54">
        <v>62.01</v>
      </c>
      <c r="I10" s="5"/>
      <c r="J10" s="10">
        <f>D10*E10*G10*H10</f>
        <v>6042073.1106512947</v>
      </c>
      <c r="K10" s="60">
        <v>0.53198976301913803</v>
      </c>
      <c r="L10" s="21">
        <f t="shared" ref="L10:L14" si="0">J10/$B$6</f>
        <v>0.51996332076228602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1.0947986117953601</v>
      </c>
      <c r="H11" s="54">
        <v>64.069999999999993</v>
      </c>
      <c r="I11" s="5"/>
      <c r="J11" s="10">
        <f t="shared" ref="J11:J12" si="1">D11*E11*G11*H11</f>
        <v>561149.97646182973</v>
      </c>
      <c r="K11" s="60">
        <v>4.7944164628809197E-2</v>
      </c>
      <c r="L11" s="21">
        <f t="shared" si="0"/>
        <v>4.8290942506539772E-2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1.3072920751954402</v>
      </c>
      <c r="H12" s="54">
        <v>36.61</v>
      </c>
      <c r="I12" s="5"/>
      <c r="J12" s="10">
        <f t="shared" si="1"/>
        <v>478599.62872905063</v>
      </c>
      <c r="K12" s="60">
        <v>4.4315418169462203E-2</v>
      </c>
      <c r="L12" s="21">
        <f t="shared" si="0"/>
        <v>4.1186898554878545E-2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36.92</v>
      </c>
      <c r="I13" s="5"/>
      <c r="J13" s="10">
        <f>D13*E13*H13</f>
        <v>2990520</v>
      </c>
      <c r="K13" s="60">
        <v>0.27138883369271299</v>
      </c>
      <c r="L13" s="21">
        <f t="shared" si="0"/>
        <v>0.25735549397190549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39.03</v>
      </c>
      <c r="I14" s="5"/>
      <c r="J14" s="10">
        <f>D14*E14*H14</f>
        <v>585450</v>
      </c>
      <c r="K14" s="60">
        <v>5.3662753577592801E-2</v>
      </c>
      <c r="L14" s="21">
        <f t="shared" si="0"/>
        <v>5.0382132186326145E-2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19.260000000000002</v>
      </c>
      <c r="I15" s="12"/>
      <c r="J15" s="14">
        <f>D15*E15*H15</f>
        <v>577800</v>
      </c>
      <c r="K15" s="61">
        <v>5.0699066912284103E-2</v>
      </c>
      <c r="L15" s="21">
        <f>J15/$B$6</f>
        <v>4.972379533223887E-2</v>
      </c>
    </row>
    <row r="16" spans="1:12" ht="15" thickBot="1" x14ac:dyDescent="0.35">
      <c r="J16" s="35">
        <f>SUM(J10:J15)</f>
        <v>11235592.715842176</v>
      </c>
      <c r="K16" s="36">
        <f>SUM(K10:K15)</f>
        <v>0.99999999999999933</v>
      </c>
      <c r="L16" s="37">
        <f>SUM(L10:L15)</f>
        <v>0.96690258331417489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0.57993392764794727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1.0947986117953601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1.3072920751954402</v>
      </c>
      <c r="H23" s="41"/>
      <c r="I23" s="41"/>
      <c r="J23" s="43">
        <f>D23*G23</f>
        <v>0</v>
      </c>
      <c r="K23" s="44">
        <f>K12</f>
        <v>4.4315418169462203E-2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0.3757506541825899</v>
      </c>
      <c r="L24" s="25">
        <f>SUM(J24:J28)/$B$6</f>
        <v>1.0001318627204461</v>
      </c>
    </row>
    <row r="25" spans="1:13" x14ac:dyDescent="0.3">
      <c r="A25" s="6" t="s">
        <v>13</v>
      </c>
      <c r="B25" s="6"/>
      <c r="C25" s="6"/>
      <c r="D25" s="54">
        <v>2033508.54</v>
      </c>
      <c r="E25" s="24">
        <v>1</v>
      </c>
      <c r="F25" s="8" t="s">
        <v>5</v>
      </c>
      <c r="G25" s="8"/>
      <c r="H25" s="5"/>
      <c r="I25" s="5"/>
      <c r="J25" s="7">
        <f>D25</f>
        <v>2033508.54</v>
      </c>
      <c r="K25" s="5"/>
      <c r="L25" s="5"/>
    </row>
    <row r="26" spans="1:13" x14ac:dyDescent="0.3">
      <c r="A26" s="6" t="s">
        <v>14</v>
      </c>
      <c r="B26" s="6"/>
      <c r="C26" s="6"/>
      <c r="D26" s="54">
        <v>8963214.75</v>
      </c>
      <c r="E26" s="24">
        <v>1</v>
      </c>
      <c r="F26" s="8" t="s">
        <v>5</v>
      </c>
      <c r="G26" s="8"/>
      <c r="H26" s="5"/>
      <c r="I26" s="5"/>
      <c r="J26" s="7">
        <f>D26</f>
        <v>8963214.75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11621723.289999999</v>
      </c>
      <c r="K29" s="46">
        <f>SUM(K21:K28)</f>
        <v>0.99999999999999933</v>
      </c>
      <c r="L29" s="46">
        <f>SUM(L21:L28)</f>
        <v>1.0001318627204461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0.57993392764794727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4.4315418169462203E-2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11621723.289999999</v>
      </c>
      <c r="K37" s="67">
        <f>K24</f>
        <v>0.3757506541825899</v>
      </c>
      <c r="L37" s="67">
        <f>L24</f>
        <v>1.0001318627204461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11621723.289999999</v>
      </c>
      <c r="K38" s="46">
        <f>SUM(K34:K37)</f>
        <v>0.99999999999999933</v>
      </c>
      <c r="L38" s="46">
        <f>SUM(L34:L37)</f>
        <v>1.0001318627204461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2024-10-10T12:21:50Z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