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170B2B7-74EE-47FB-8449-18A61CE9188E}" xr6:coauthVersionLast="47" xr6:coauthVersionMax="47" xr10:uidLastSave="{DBE1E7D8-49A0-4B3A-B512-472E044416DF}"/>
  <bookViews>
    <workbookView xWindow="29940" yWindow="4140" windowWidth="22125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<sst xmlns="http://schemas.openxmlformats.org/spreadsheetml/2006/main" count="91" uniqueCount="51">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</sst>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45625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11948265.01</v>
      </c>
      <c r="J6" t="s">
        <v>27</v>
      </c>
    </row>
    <row r="7" spans="1:12" x14ac:dyDescent="0.3">
      <c r="J7" s="63">
        <f>(D25+D26)/B6</f>
        <v>0.9487435222195495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1.0562004245925707</v>
      </c>
      <c r="H10" s="54">
        <v>68.400000000000006</v>
      </c>
      <c r="I10" s="5"/>
      <c r="J10" s="10">
        <f>D10*E10*G10*H10</f>
        <v>6429725.7047497341</v>
      </c>
      <c r="K10" s="60">
        <v>0.55453382431523102</v>
      </c>
      <c r="L10" s="21">
        <f t="shared" ref="L10:L14" si="0">J10/$B$6</f>
        <v>0.53813049002247848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1.0562004245925707</v>
      </c>
      <c r="H11" s="54">
        <v>70.489999999999995</v>
      </c>
      <c r="I11" s="5"/>
      <c r="J11" s="10">
        <f t="shared" ref="J11:J12" si="1">D11*E11*G11*H11</f>
        <v>595612.54343624238</v>
      </c>
      <c r="K11" s="60">
        <v>4.9846989961875698E-2</v>
      </c>
      <c r="L11" s="21">
        <f t="shared" si="0"/>
        <v>4.9849291335415602E-2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1.271051795360661</v>
      </c>
      <c r="H12" s="54">
        <v>36.56</v>
      </c>
      <c r="I12" s="5"/>
      <c r="J12" s="10">
        <f t="shared" si="1"/>
        <v>464696.53638385766</v>
      </c>
      <c r="K12" s="60">
        <v>4.2147100723930297E-2</v>
      </c>
      <c r="L12" s="21">
        <f t="shared" si="0"/>
        <v>3.8892386132625432E-2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34.229999999999997</v>
      </c>
      <c r="I13" s="5"/>
      <c r="J13" s="10">
        <f>D13*E13*H13</f>
        <v>2772629.9999999995</v>
      </c>
      <c r="K13" s="60">
        <v>0.24646553804469101</v>
      </c>
      <c r="L13" s="21">
        <f t="shared" si="0"/>
        <v>0.23205293803572904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36.299999999999997</v>
      </c>
      <c r="I14" s="5"/>
      <c r="J14" s="10">
        <f>D14*E14*H14</f>
        <v>544500</v>
      </c>
      <c r="K14" s="60">
        <v>4.8887749887327803E-2</v>
      </c>
      <c r="L14" s="21">
        <f t="shared" si="0"/>
        <v>4.5571469961897003E-2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22.54</v>
      </c>
      <c r="I15" s="12"/>
      <c r="J15" s="14">
        <f>D15*E15*H15</f>
        <v>676200</v>
      </c>
      <c r="K15" s="61">
        <v>5.8118797066942299E-2</v>
      </c>
      <c r="L15" s="21">
        <f>J15/$B$6</f>
        <v>5.6593990795656114E-2</v>
      </c>
    </row>
    <row r="16" spans="1:12" ht="15" thickBot="1" x14ac:dyDescent="0.35">
      <c r="J16" s="35">
        <f>SUM(J10:J15)</f>
        <v>11483364.784569833</v>
      </c>
      <c r="K16" s="36">
        <f>SUM(K10:K15)</f>
        <v>0.99999999999999811</v>
      </c>
      <c r="L16" s="37">
        <f>SUM(L10:L15)</f>
        <v>0.96109056628380163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>
        <v>52</v>
      </c>
      <c r="E21" s="51">
        <v>125000</v>
      </c>
      <c r="F21" s="5" t="s">
        <v>5</v>
      </c>
      <c r="G21" s="23"/>
      <c r="H21" s="58">
        <v>1.05735</v>
      </c>
      <c r="I21" s="23"/>
      <c r="J21" s="7">
        <f>D21*E21*H21</f>
        <v>6872775</v>
      </c>
      <c r="K21" s="27">
        <f>SUM(K10:K11)</f>
        <v>0.60438081427710677</v>
      </c>
      <c r="L21" s="25">
        <f>SUM(J21:J22)/$B$6</f>
        <v>0.57521112849839606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1.0562004245925707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1.271051795360661</v>
      </c>
      <c r="H23" s="41"/>
      <c r="I23" s="41"/>
      <c r="J23" s="43">
        <f>D23*G23</f>
        <v>0</v>
      </c>
      <c r="K23" s="44">
        <f>K12</f>
        <v>4.2147100723930297E-2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-52</v>
      </c>
      <c r="E24" s="24">
        <v>-125000</v>
      </c>
      <c r="F24" s="5" t="s">
        <v>5</v>
      </c>
      <c r="G24" s="8"/>
      <c r="H24" s="8"/>
      <c r="I24" s="8"/>
      <c r="J24" s="7">
        <f>-J21</f>
        <v>-6872775</v>
      </c>
      <c r="K24" s="29">
        <f>SUM(K13:K15)</f>
        <v>0.3534720849989611</v>
      </c>
      <c r="L24" s="25">
        <f>SUM(J24:J28)/$B$6</f>
        <v>0.42564161371911191</v>
      </c>
    </row>
    <row r="25" spans="1:13" x14ac:dyDescent="0.3">
      <c r="A25" s="6" t="s">
        <v>13</v>
      </c>
      <c r="B25" s="6"/>
      <c r="C25" s="6"/>
      <c r="D25" s="54">
        <v>1945792.21</v>
      </c>
      <c r="E25" s="24">
        <v>1</v>
      </c>
      <c r="F25" s="8" t="s">
        <v>5</v>
      </c>
      <c r="G25" s="8"/>
      <c r="H25" s="5"/>
      <c r="I25" s="5"/>
      <c r="J25" s="7">
        <f>D25</f>
        <v>1945792.21</v>
      </c>
      <c r="K25" s="5"/>
      <c r="L25" s="5"/>
    </row>
    <row r="26" spans="1:13" x14ac:dyDescent="0.3">
      <c r="A26" s="6" t="s">
        <v>14</v>
      </c>
      <c r="B26" s="6"/>
      <c r="C26" s="6"/>
      <c r="D26" s="54">
        <v>9390046.8200000003</v>
      </c>
      <c r="E26" s="24">
        <v>1</v>
      </c>
      <c r="F26" s="8" t="s">
        <v>5</v>
      </c>
      <c r="G26" s="8"/>
      <c r="H26" s="5"/>
      <c r="I26" s="5"/>
      <c r="J26" s="7">
        <f>D26</f>
        <v>9390046.8200000003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622614.77</v>
      </c>
      <c r="E28" s="26">
        <v>1</v>
      </c>
      <c r="F28" s="12" t="s">
        <v>5</v>
      </c>
      <c r="G28" s="12"/>
      <c r="H28" s="12"/>
      <c r="I28" s="12"/>
      <c r="J28" s="14">
        <f>D28</f>
        <v>622614.77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11958453.800000001</v>
      </c>
      <c r="K29" s="46">
        <f>SUM(K21:K28)</f>
        <v>0.99999999999999811</v>
      </c>
      <c r="L29" s="46">
        <f>SUM(L21:L28)</f>
        <v>1.000852742217508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52</v>
      </c>
      <c r="E34" s="24">
        <v>125000</v>
      </c>
      <c r="F34" s="5" t="s">
        <v>5</v>
      </c>
      <c r="G34" s="23"/>
      <c r="H34" s="33">
        <v>1.05735</v>
      </c>
      <c r="I34" s="23"/>
      <c r="J34" s="7">
        <f>J21</f>
        <v>6872775</v>
      </c>
      <c r="K34" s="27">
        <f>SUM(K10:K11)</f>
        <v>0.60438081427710677</v>
      </c>
      <c r="L34" s="25">
        <f>SUM(J34:J35)/$B$6</f>
        <v>0.57521112849839606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4.2147100723930297E-2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5085678.8000000007</v>
      </c>
      <c r="K37" s="67">
        <f>K24</f>
        <v>0.3534720849989611</v>
      </c>
      <c r="L37" s="67">
        <f>L24</f>
        <v>0.42564161371911191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11958453.800000001</v>
      </c>
      <c r="K38" s="46">
        <f>SUM(K34:K37)</f>
        <v>0.99999999999999811</v>
      </c>
      <c r="L38" s="46">
        <f>SUM(L34:L37)</f>
        <v>1.000852742217508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2024-12-02T13:31:56Z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