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01ED4B7-5163-437E-8300-7BC678C9CA71}" xr6:coauthVersionLast="47" xr6:coauthVersionMax="47" xr10:uidLastSave="{D9D9B0E1-851A-466C-84C8-5B8CBBF3E932}"/>
  <bookViews>
    <workbookView xWindow="30315" yWindow="3885" windowWidth="2214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<sst xmlns="http://schemas.openxmlformats.org/spreadsheetml/2006/main" count="95" uniqueCount="54">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</sst>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45645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11345350.699999999</v>
      </c>
      <c r="J6" t="s">
        <v>27</v>
      </c>
    </row>
    <row r="7" spans="1:12" x14ac:dyDescent="0.3">
      <c r="J7" s="63">
        <f>(D26+D27)/B6</f>
        <v>0.94590444612699387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1.0379042637107154</v>
      </c>
      <c r="H10" s="54">
        <v>67.69</v>
      </c>
      <c r="I10" s="5"/>
      <c r="J10" s="10">
        <f>D10*E10*G10*H10</f>
        <v>6041993.6065097358</v>
      </c>
      <c r="K10" s="60">
        <v>0.54414068927703896</v>
      </c>
      <c r="L10" s="21">
        <f t="shared" ref="L10:L15" si="0">J10/$B$6</f>
        <v>0.53255238787019044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1.0379042637107154</v>
      </c>
      <c r="H11" s="54">
        <v>69.650000000000006</v>
      </c>
      <c r="I11" s="5"/>
      <c r="J11" s="10">
        <f t="shared" ref="J11:J12" si="1">D11*E11*G11*H11</f>
        <v>578320.25573961064</v>
      </c>
      <c r="K11" s="60">
        <v>4.9447616282188897E-2</v>
      </c>
      <c r="L11" s="21">
        <f t="shared" si="0"/>
        <v>5.0974207059074045E-2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1.2547523746188691</v>
      </c>
      <c r="H12" s="54">
        <v>34.29</v>
      </c>
      <c r="I12" s="5"/>
      <c r="J12" s="10">
        <f t="shared" si="1"/>
        <v>516305.50710817229</v>
      </c>
      <c r="K12" s="60">
        <v>4.5995145402705898E-2</v>
      </c>
      <c r="L12" s="21">
        <f t="shared" si="0"/>
        <v>4.5508113478428862E-2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35.950000000000003</v>
      </c>
      <c r="I13" s="5"/>
      <c r="J13" s="10">
        <f>D13*E13*H13</f>
        <v>2264850</v>
      </c>
      <c r="K13" s="60">
        <v>0.20766553531823601</v>
      </c>
      <c r="L13" s="21">
        <f t="shared" si="0"/>
        <v>0.1996280291273852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38.22</v>
      </c>
      <c r="I14" s="5"/>
      <c r="J14" s="10">
        <f>D14*E14*H14</f>
        <v>611520</v>
      </c>
      <c r="K14" s="60">
        <v>5.21082518493984E-2</v>
      </c>
      <c r="L14" s="21">
        <f t="shared" ref="L14" si="2">J14/$B$6</f>
        <v>5.3900493353634282E-2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24.26</v>
      </c>
      <c r="I15" s="5"/>
      <c r="J15" s="10">
        <f>D15*E15*H15</f>
        <v>582240</v>
      </c>
      <c r="K15" s="60">
        <v>5.36378556877233E-2</v>
      </c>
      <c r="L15" s="21">
        <f t="shared" si="0"/>
        <v>5.1319700500752262E-2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53.8</v>
      </c>
      <c r="I16" s="12"/>
      <c r="J16" s="14">
        <f>D16*E16*H16</f>
        <v>538000</v>
      </c>
      <c r="K16" s="61">
        <v>4.7004906182707099E-2</v>
      </c>
      <c r="L16" s="21">
        <f>J16/$B$6</f>
        <v>4.7420305835058942E-2</v>
      </c>
    </row>
    <row r="17" spans="1:13" ht="15" thickBot="1" x14ac:dyDescent="0.35">
      <c r="J17" s="35">
        <f>SUM(J10:J16)</f>
        <v>11133229.369357519</v>
      </c>
      <c r="K17" s="36">
        <f>SUM(K10:K16)</f>
        <v>0.99999999999999856</v>
      </c>
      <c r="L17" s="37">
        <f>SUM(L10:L16)</f>
        <v>0.98130323722452406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1.0402</v>
      </c>
      <c r="I22" s="23"/>
      <c r="J22" s="7">
        <f>D22*E22*H22</f>
        <v>6761300</v>
      </c>
      <c r="K22" s="27">
        <f>SUM(K10:K11)</f>
        <v>0.59358830555922781</v>
      </c>
      <c r="L22" s="25">
        <f>SUM(J22:J23)/$B$6</f>
        <v>0.59595337145461713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1.0379042637107154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1.2547523746188691</v>
      </c>
      <c r="H24" s="41"/>
      <c r="I24" s="41"/>
      <c r="J24" s="43">
        <f>D24*G24</f>
        <v>0</v>
      </c>
      <c r="K24" s="44">
        <f>K12</f>
        <v>4.5995145402705898E-2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-6761300</v>
      </c>
      <c r="K25" s="29">
        <f>SUM(K13:K16)</f>
        <v>0.36041654903806475</v>
      </c>
      <c r="L25" s="25">
        <f>SUM(J25:J29)/$B$6</f>
        <v>0.4041493578510536</v>
      </c>
    </row>
    <row r="26" spans="1:13" x14ac:dyDescent="0.3">
      <c r="A26" s="6" t="s">
        <v>13</v>
      </c>
      <c r="B26" s="6"/>
      <c r="C26" s="6"/>
      <c r="D26" s="54">
        <v>1933026.21</v>
      </c>
      <c r="E26" s="24">
        <v>1</v>
      </c>
      <c r="F26" s="8" t="s">
        <v>5</v>
      </c>
      <c r="G26" s="8"/>
      <c r="H26" s="5"/>
      <c r="I26" s="5"/>
      <c r="J26" s="7">
        <f>D26</f>
        <v>1933026.21</v>
      </c>
      <c r="K26" s="5"/>
      <c r="L26" s="5"/>
    </row>
    <row r="27" spans="1:13" x14ac:dyDescent="0.3">
      <c r="A27" s="6" t="s">
        <v>14</v>
      </c>
      <c r="B27" s="6"/>
      <c r="C27" s="6"/>
      <c r="D27" s="54">
        <v>8798591.4600000009</v>
      </c>
      <c r="E27" s="24">
        <v>1</v>
      </c>
      <c r="F27" s="8" t="s">
        <v>5</v>
      </c>
      <c r="G27" s="8"/>
      <c r="H27" s="5"/>
      <c r="I27" s="5"/>
      <c r="J27" s="7">
        <f>D27</f>
        <v>8798591.4600000009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11346516.200000001</v>
      </c>
      <c r="K30" s="46">
        <f>SUM(K22:K29)</f>
        <v>0.99999999999999845</v>
      </c>
      <c r="L30" s="46">
        <f>SUM(L22:L29)</f>
        <v>1.0001027293056708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1.0402</v>
      </c>
      <c r="I35" s="23"/>
      <c r="J35" s="7">
        <f>J22</f>
        <v>6761300</v>
      </c>
      <c r="K35" s="27">
        <f>SUM(K10:K11)</f>
        <v>0.59358830555922781</v>
      </c>
      <c r="L35" s="25">
        <f>SUM(J35:J36)/$B$6</f>
        <v>0.59595337145461713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4.5995145402705898E-2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4585216.2000000011</v>
      </c>
      <c r="K38" s="67">
        <f>K25</f>
        <v>0.36041654903806475</v>
      </c>
      <c r="L38" s="67">
        <f>L25</f>
        <v>0.4041493578510536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11346516.200000001</v>
      </c>
      <c r="K39" s="46">
        <f>SUM(K35:K38)</f>
        <v>0.99999999999999845</v>
      </c>
      <c r="L39" s="46">
        <f>SUM(L35:L38)</f>
        <v>1.0001027293056708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2024-12-20T13:17:01Z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