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C93022FA-30B4-4BCC-A1D0-BDC5E88B8D58}" xr6:coauthVersionLast="47" xr6:coauthVersionMax="47" xr10:uidLastSave="{D4CD83CE-2835-451B-B268-251E765A2E8B}"/>
  <bookViews>
    <workbookView xWindow="30135" yWindow="4320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<sst xmlns="http://schemas.openxmlformats.org/spreadsheetml/2006/main" count="91" uniqueCount="51">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</sst>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45600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12108572.550000001</v>
      </c>
      <c r="J6" t="s">
        <v>27</v>
      </c>
    </row>
    <row r="7" spans="1:12" x14ac:dyDescent="0.3">
      <c r="J7" s="63">
        <f>(D25+D26)/B6</f>
        <v>0.95062492151479894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1.0898944982125731</v>
      </c>
      <c r="H10" s="54">
        <v>65.22</v>
      </c>
      <c r="I10" s="5"/>
      <c r="J10" s="10">
        <f>D10*E10*G10*H10</f>
        <v>6326379.8064347375</v>
      </c>
      <c r="K10" s="60">
        <v>0.53706580212924804</v>
      </c>
      <c r="L10" s="21">
        <f t="shared" ref="L10:L14" si="0">J10/$B$6</f>
        <v>0.52247114846206522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1.0898944982125731</v>
      </c>
      <c r="H11" s="54">
        <v>67.290000000000006</v>
      </c>
      <c r="I11" s="5"/>
      <c r="J11" s="10">
        <f t="shared" ref="J11:J12" si="1">D11*E11*G11*H11</f>
        <v>586712.00627779239</v>
      </c>
      <c r="K11" s="60">
        <v>4.8332217501830803E-2</v>
      </c>
      <c r="L11" s="21">
        <f t="shared" si="0"/>
        <v>4.8454266913385453E-2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1.2979933023545598</v>
      </c>
      <c r="H12" s="54">
        <v>37.99</v>
      </c>
      <c r="I12" s="5"/>
      <c r="J12" s="10">
        <f t="shared" si="1"/>
        <v>493107.65556449728</v>
      </c>
      <c r="K12" s="60">
        <v>4.4022747603872703E-2</v>
      </c>
      <c r="L12" s="21">
        <f t="shared" si="0"/>
        <v>4.0723846971086386E-2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37.43</v>
      </c>
      <c r="I13" s="5"/>
      <c r="J13" s="10">
        <f>D13*E13*H13</f>
        <v>3031830</v>
      </c>
      <c r="K13" s="60">
        <v>0.26527932662667503</v>
      </c>
      <c r="L13" s="21">
        <f t="shared" si="0"/>
        <v>0.25038706977892283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39.61</v>
      </c>
      <c r="I14" s="5"/>
      <c r="J14" s="10">
        <f>D14*E14*H14</f>
        <v>594150</v>
      </c>
      <c r="K14" s="60">
        <v>5.2508854237066901E-2</v>
      </c>
      <c r="L14" s="21">
        <f t="shared" si="0"/>
        <v>4.9068541939735082E-2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20.8</v>
      </c>
      <c r="I15" s="12"/>
      <c r="J15" s="14">
        <f>D15*E15*H15</f>
        <v>624000</v>
      </c>
      <c r="K15" s="61">
        <v>5.2791051901306202E-2</v>
      </c>
      <c r="L15" s="21">
        <f>J15/$B$6</f>
        <v>5.1533737558520053E-2</v>
      </c>
    </row>
    <row r="16" spans="1:12" ht="15" thickBot="1" x14ac:dyDescent="0.35">
      <c r="J16" s="35">
        <f>SUM(J10:J15)</f>
        <v>11656179.468277026</v>
      </c>
      <c r="K16" s="36">
        <f>SUM(K10:K15)</f>
        <v>0.99999999999999956</v>
      </c>
      <c r="L16" s="37">
        <f>SUM(L10:L15)</f>
        <v>0.962638611623715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1.0896999999999999</v>
      </c>
      <c r="I21" s="23"/>
      <c r="J21" s="7">
        <f>D21*E21*H21</f>
        <v>7083049.9999999991</v>
      </c>
      <c r="K21" s="27">
        <f>SUM(K10:K11)</f>
        <v>0.58539801963107885</v>
      </c>
      <c r="L21" s="25">
        <f>SUM(J21:J22)/$B$6</f>
        <v>0.58496160226582605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1.0898944982125731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1.2979933023545598</v>
      </c>
      <c r="H23" s="41"/>
      <c r="I23" s="41"/>
      <c r="J23" s="43">
        <f>D23*G23</f>
        <v>0</v>
      </c>
      <c r="K23" s="44">
        <f>K12</f>
        <v>4.4022747603872703E-2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-7083049.9999999991</v>
      </c>
      <c r="K24" s="29">
        <f>SUM(K13:K15)</f>
        <v>0.37057923276504812</v>
      </c>
      <c r="L24" s="25">
        <f>SUM(J24:J28)/$B$6</f>
        <v>0.41749887685976678</v>
      </c>
    </row>
    <row r="25" spans="1:13" x14ac:dyDescent="0.3">
      <c r="A25" s="6" t="s">
        <v>13</v>
      </c>
      <c r="B25" s="6"/>
      <c r="C25" s="6"/>
      <c r="D25" s="54">
        <v>2325040.7799999998</v>
      </c>
      <c r="E25" s="24">
        <v>1</v>
      </c>
      <c r="F25" s="8" t="s">
        <v>5</v>
      </c>
      <c r="G25" s="8"/>
      <c r="H25" s="5"/>
      <c r="I25" s="5"/>
      <c r="J25" s="7">
        <f>D25</f>
        <v>2325040.7799999998</v>
      </c>
      <c r="K25" s="5"/>
      <c r="L25" s="5"/>
    </row>
    <row r="26" spans="1:13" x14ac:dyDescent="0.3">
      <c r="A26" s="6" t="s">
        <v>14</v>
      </c>
      <c r="B26" s="6"/>
      <c r="C26" s="6"/>
      <c r="D26" s="54">
        <v>9185670.0500000007</v>
      </c>
      <c r="E26" s="24">
        <v>1</v>
      </c>
      <c r="F26" s="8" t="s">
        <v>5</v>
      </c>
      <c r="G26" s="8"/>
      <c r="H26" s="5"/>
      <c r="I26" s="5"/>
      <c r="J26" s="7">
        <f>D26</f>
        <v>9185670.0500000007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627654.61</v>
      </c>
      <c r="E28" s="26">
        <v>1</v>
      </c>
      <c r="F28" s="12" t="s">
        <v>5</v>
      </c>
      <c r="G28" s="12"/>
      <c r="H28" s="12"/>
      <c r="I28" s="12"/>
      <c r="J28" s="14">
        <f>D28</f>
        <v>627654.61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12138365.439999999</v>
      </c>
      <c r="K29" s="46">
        <f>SUM(K21:K28)</f>
        <v>0.99999999999999967</v>
      </c>
      <c r="L29" s="46">
        <f>SUM(L21:L28)</f>
        <v>1.0024604791255929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1.0896999999999999</v>
      </c>
      <c r="I34" s="23"/>
      <c r="J34" s="7">
        <f>J21</f>
        <v>7083049.9999999991</v>
      </c>
      <c r="K34" s="27">
        <f>SUM(K10:K11)</f>
        <v>0.58539801963107885</v>
      </c>
      <c r="L34" s="25">
        <f>SUM(J34:J35)/$B$6</f>
        <v>0.58496160226582605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4.4022747603872703E-2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5055315.4400000023</v>
      </c>
      <c r="K37" s="67">
        <f>K24</f>
        <v>0.37057923276504812</v>
      </c>
      <c r="L37" s="67">
        <f>L24</f>
        <v>0.41749887685976678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12138365.440000001</v>
      </c>
      <c r="K38" s="46">
        <f>SUM(K34:K37)</f>
        <v>0.99999999999999967</v>
      </c>
      <c r="L38" s="46">
        <f>SUM(L34:L37)</f>
        <v>1.0024604791255929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2024-11-05T13:06:32Z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