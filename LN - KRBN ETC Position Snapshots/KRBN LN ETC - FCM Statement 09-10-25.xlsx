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0D0FF94-A5E2-44B0-9CBD-D2D20F91537B}" xr6:coauthVersionLast="47" xr6:coauthVersionMax="47" xr10:uidLastSave="{783BB393-0062-4A8F-9A8A-796419A61EEA}"/>
  <bookViews>
    <workbookView xWindow="30570" yWindow="6375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<sst xmlns="http://schemas.openxmlformats.org/spreadsheetml/2006/main" count="103" uniqueCount="56">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</sst>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9573744.0899999999</v>
      </c>
      <c r="J6" t="s">
        <v>25</v>
      </c>
    </row>
    <row r="7" spans="1:13" x14ac:dyDescent="0.3">
      <c r="J7" s="57">
        <f>(D28+D29)/B6</f>
        <v>0.9794947495823445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1.1727453969743169</v>
      </c>
      <c r="H10" s="49">
        <v>77.099999999999994</v>
      </c>
      <c r="I10" s="4"/>
      <c r="J10" s="9">
        <f>D10*E10*G10*H10</f>
        <v>5244282.8661897499</v>
      </c>
      <c r="K10" s="54">
        <v>0.55082560639372902</v>
      </c>
      <c r="L10" s="20">
        <f t="shared" ref="L10:L15" si="0">J10/$B$6</f>
        <v>0.54777763191597384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1.1727453969743169</v>
      </c>
      <c r="H11" s="49">
        <v>79.08</v>
      </c>
      <c r="I11" s="4"/>
      <c r="J11" s="9">
        <f t="shared" ref="J11:J12" si="1">D11*E11*G11*H11</f>
        <v>463703.52996364486</v>
      </c>
      <c r="K11" s="54">
        <v>5.0066870737489097E-2</v>
      </c>
      <c r="L11" s="20">
        <f t="shared" si="0"/>
        <v>4.8434920090249127E-2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1.3550502723651048</v>
      </c>
      <c r="H12" s="49">
        <v>57.35</v>
      </c>
      <c r="I12" s="4"/>
      <c r="J12" s="9">
        <f t="shared" si="1"/>
        <v>466272.79872083256</v>
      </c>
      <c r="K12" s="54">
        <v>4.9765750610220497E-2</v>
      </c>
      <c r="L12" s="20">
        <f t="shared" si="0"/>
        <v>4.8703286231336122E-2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30.66</v>
      </c>
      <c r="I13" s="4"/>
      <c r="J13" s="9">
        <f>D13*E13*H13</f>
        <v>1839600</v>
      </c>
      <c r="K13" s="54">
        <v>0.20212200831674601</v>
      </c>
      <c r="L13" s="20">
        <f t="shared" si="0"/>
        <v>0.19215052989785944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32.39</v>
      </c>
      <c r="I14" s="4"/>
      <c r="J14" s="9">
        <f>D14*E14*H14</f>
        <v>485850</v>
      </c>
      <c r="K14" s="54">
        <v>5.0046509505916603E-2</v>
      </c>
      <c r="L14" s="20">
        <f t="shared" ref="L14" si="2">J14/$B$6</f>
        <v>5.0748170771295391E-2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22.62</v>
      </c>
      <c r="I15" s="4"/>
      <c r="J15" s="9">
        <f>D15*E15*H15</f>
        <v>475020</v>
      </c>
      <c r="K15" s="54">
        <v>5.0091873800334599E-2</v>
      </c>
      <c r="L15" s="20">
        <f t="shared" si="0"/>
        <v>4.9616951898282878E-2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4.70813806355634E-2</v>
      </c>
      <c r="L16" s="20">
        <f>J16/$B$6</f>
        <v>4.5880691594713391E-2</v>
      </c>
    </row>
    <row r="17" spans="1:13" ht="15" thickBot="1" x14ac:dyDescent="0.35">
      <c r="J17" s="33">
        <f>SUM(J10:J16)</f>
        <v>9413979.194874227</v>
      </c>
      <c r="K17" s="34">
        <f>SUM(K10:K16)</f>
        <v>0.99999999999999922</v>
      </c>
      <c r="L17" s="35">
        <f>SUM(L10:L16)</f>
        <v>0.98331218239971008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1.1770500000000002</v>
      </c>
      <c r="I22" s="22"/>
      <c r="J22" s="6">
        <f>D22*E22*H22</f>
        <v>4413937.5000000009</v>
      </c>
      <c r="K22" s="26">
        <f>SUM(K10:K11)</f>
        <v>0.60089247713121807</v>
      </c>
      <c r="L22" s="24">
        <f>SUM(J22:J24)/$B$6</f>
        <v>0.58566105320360407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1.1727453969743169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1017298</v>
      </c>
      <c r="E24" s="25">
        <v>1</v>
      </c>
      <c r="F24" s="11" t="s">
        <v>4</v>
      </c>
      <c r="G24" s="61">
        <v>1.1727453969743169</v>
      </c>
      <c r="H24" s="11"/>
      <c r="I24" s="11"/>
      <c r="J24" s="13">
        <f>D24*G24</f>
        <v>1193031.5468511786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1.3550502723651048</v>
      </c>
      <c r="H25" s="7"/>
      <c r="I25" s="7"/>
      <c r="J25" s="9">
        <f>D25*G25</f>
        <v>0</v>
      </c>
      <c r="K25" s="69">
        <f>K12</f>
        <v>4.9765750610220497E-2</v>
      </c>
      <c r="L25" s="69">
        <f>(SUM(J25:J26))/B6</f>
        <v>4.9777136369775953E-2</v>
      </c>
    </row>
    <row r="26" spans="1:13" ht="15" thickBot="1" x14ac:dyDescent="0.35">
      <c r="A26" s="64" t="s">
        <v>53</v>
      </c>
      <c r="B26" s="11"/>
      <c r="C26" s="11"/>
      <c r="D26" s="52">
        <v>351687</v>
      </c>
      <c r="E26" s="25">
        <v>1</v>
      </c>
      <c r="F26" s="11" t="s">
        <v>22</v>
      </c>
      <c r="G26" s="61">
        <v>1.3550502723651048</v>
      </c>
      <c r="H26" s="11"/>
      <c r="I26" s="11"/>
      <c r="J26" s="13">
        <f>D26*G26</f>
        <v>476553.56513726659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-4413937.5000000009</v>
      </c>
      <c r="K27" s="65">
        <f>SUM(K13:K16)</f>
        <v>0.34934177225856056</v>
      </c>
      <c r="L27" s="20">
        <f>SUM(J27:J31)/$B$6</f>
        <v>0.36592249125091819</v>
      </c>
    </row>
    <row r="28" spans="1:13" x14ac:dyDescent="0.3">
      <c r="A28" s="5" t="s">
        <v>13</v>
      </c>
      <c r="B28" s="5"/>
      <c r="C28" s="5"/>
      <c r="D28" s="49">
        <v>1220245.3799999999</v>
      </c>
      <c r="E28" s="23">
        <v>1</v>
      </c>
      <c r="F28" s="7" t="s">
        <v>5</v>
      </c>
      <c r="G28" s="7"/>
      <c r="H28" s="4"/>
      <c r="I28" s="4"/>
      <c r="J28" s="6">
        <f>D28</f>
        <v>1220245.3799999999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8157186.6900000004</v>
      </c>
      <c r="E29" s="23">
        <v>1</v>
      </c>
      <c r="F29" s="7" t="s">
        <v>5</v>
      </c>
      <c r="G29" s="7"/>
      <c r="H29" s="4"/>
      <c r="I29" s="4"/>
      <c r="J29" s="6">
        <f>D29-J26-J24</f>
        <v>6487601.5780115556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9586770.9000000004</v>
      </c>
      <c r="K32" s="42">
        <f>SUM(K22:K31)</f>
        <v>0.99999999999999911</v>
      </c>
      <c r="L32" s="42">
        <f>SUM(L22:L31)</f>
        <v>1.0013606808242983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1.1770500000000002</v>
      </c>
      <c r="I37" s="22"/>
      <c r="J37" s="6">
        <f>J22</f>
        <v>4413937.5000000009</v>
      </c>
      <c r="K37" s="26">
        <f>SUM(K10:K11)</f>
        <v>0.60089247713121807</v>
      </c>
      <c r="L37" s="24">
        <f>SUM(J37:J39)/$B$6</f>
        <v>0.58566105320360407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1017298</v>
      </c>
      <c r="E39" s="25"/>
      <c r="F39" s="11" t="s">
        <v>4</v>
      </c>
      <c r="G39" s="11"/>
      <c r="H39" s="11"/>
      <c r="I39" s="11"/>
      <c r="J39" s="29">
        <f>J24</f>
        <v>1193031.5468511786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4.9765750610220497E-2</v>
      </c>
      <c r="L40" s="69">
        <f>(SUM(J40:J41))/$B$6</f>
        <v>4.9777136369775953E-2</v>
      </c>
    </row>
    <row r="41" spans="1:12" ht="15" thickBot="1" x14ac:dyDescent="0.35">
      <c r="A41" s="11" t="s">
        <v>53</v>
      </c>
      <c r="B41" s="11"/>
      <c r="C41" s="11"/>
      <c r="D41" s="29">
        <v>351687</v>
      </c>
      <c r="E41" s="25"/>
      <c r="F41" s="11" t="s">
        <v>22</v>
      </c>
      <c r="G41" s="11"/>
      <c r="H41" s="11"/>
      <c r="I41" s="11"/>
      <c r="J41" s="29">
        <f>J26</f>
        <v>476553.56513726659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3503248.2880115546</v>
      </c>
      <c r="K42" s="71">
        <f>K27</f>
        <v>0.34934177225856056</v>
      </c>
      <c r="L42" s="71">
        <f>L27</f>
        <v>0.36592249125091819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9586770.9000000004</v>
      </c>
      <c r="K43" s="42">
        <f>SUM(K37:K42)</f>
        <v>0.99999999999999911</v>
      </c>
      <c r="L43" s="42">
        <f>SUM(L37:L42)</f>
        <v>1.0013606808242983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2025-09-11T12:53:27Z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