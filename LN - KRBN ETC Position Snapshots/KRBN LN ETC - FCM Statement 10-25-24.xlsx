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BF9F825-FD97-46B8-9085-97192D06827B}" xr6:coauthVersionLast="47" xr6:coauthVersionMax="47" xr10:uidLastSave="{CD4F858F-D1A6-47ED-90F7-F848CD58858C}"/>
  <bookViews>
    <workbookView xWindow="30345" yWindow="4575" windowWidth="22080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<sst xmlns="http://schemas.openxmlformats.org/spreadsheetml/2006/main" count="91" uniqueCount="51">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</sst>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45590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12230827.26</v>
      </c>
      <c r="J6" t="s">
        <v>27</v>
      </c>
    </row>
    <row r="7" spans="1:12" x14ac:dyDescent="0.3">
      <c r="J7" s="63">
        <f>(D25+D26)/B6</f>
        <v>0.94922625536287719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1.0831537103430349</v>
      </c>
      <c r="H10" s="54">
        <v>66.97</v>
      </c>
      <c r="I10" s="5"/>
      <c r="J10" s="10">
        <f>D10*E10*G10*H10</f>
        <v>6455953.5543689011</v>
      </c>
      <c r="K10" s="60">
        <v>0.54255099574065202</v>
      </c>
      <c r="L10" s="21">
        <f t="shared" ref="L10:L14" si="0">J10/$B$6</f>
        <v>0.5278427547973481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1.0831537103430349</v>
      </c>
      <c r="H11" s="54">
        <v>69</v>
      </c>
      <c r="I11" s="5"/>
      <c r="J11" s="10">
        <f t="shared" ref="J11:J12" si="1">D11*E11*G11*H11</f>
        <v>597900.8481093552</v>
      </c>
      <c r="K11" s="60">
        <v>4.8758332502180597E-2</v>
      </c>
      <c r="L11" s="21">
        <f t="shared" si="0"/>
        <v>4.8884743067604666E-2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1.2991568472061632</v>
      </c>
      <c r="H12" s="54">
        <v>39.19</v>
      </c>
      <c r="I12" s="5"/>
      <c r="J12" s="10">
        <f t="shared" si="1"/>
        <v>509139.56842009531</v>
      </c>
      <c r="K12" s="60">
        <v>4.4996561695769197E-2</v>
      </c>
      <c r="L12" s="21">
        <f t="shared" si="0"/>
        <v>4.162756595256626E-2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37.090000000000003</v>
      </c>
      <c r="I13" s="5"/>
      <c r="J13" s="10">
        <f>D13*E13*H13</f>
        <v>3004290.0000000005</v>
      </c>
      <c r="K13" s="60">
        <v>0.26022680059505698</v>
      </c>
      <c r="L13" s="21">
        <f t="shared" si="0"/>
        <v>0.24563260817404436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39.25</v>
      </c>
      <c r="I14" s="5"/>
      <c r="J14" s="10">
        <f>D14*E14*H14</f>
        <v>588750</v>
      </c>
      <c r="K14" s="60">
        <v>5.1508507988352402E-2</v>
      </c>
      <c r="L14" s="21">
        <f t="shared" si="0"/>
        <v>4.8136564067539613E-2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20.68</v>
      </c>
      <c r="I15" s="12"/>
      <c r="J15" s="14">
        <f>D15*E15*H15</f>
        <v>620400</v>
      </c>
      <c r="K15" s="61">
        <v>5.1958801477987503E-2</v>
      </c>
      <c r="L15" s="21">
        <f>J15/$B$6</f>
        <v>5.0724287639068499E-2</v>
      </c>
    </row>
    <row r="16" spans="1:12" ht="15" thickBot="1" x14ac:dyDescent="0.35">
      <c r="J16" s="35">
        <f>SUM(J10:J15)</f>
        <v>11776433.970898353</v>
      </c>
      <c r="K16" s="36">
        <f>SUM(K10:K15)</f>
        <v>0.99999999999999867</v>
      </c>
      <c r="L16" s="37">
        <f>SUM(L10:L15)</f>
        <v>0.96284852369817142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0.59130932824283267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1.0831537103430349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1.2991568472061632</v>
      </c>
      <c r="H23" s="41"/>
      <c r="I23" s="41"/>
      <c r="J23" s="43">
        <f>D23*G23</f>
        <v>0</v>
      </c>
      <c r="K23" s="44">
        <f>K12</f>
        <v>4.4996561695769197E-2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0.36369411006139685</v>
      </c>
      <c r="L24" s="25">
        <f>SUM(J24:J28)/$B$6</f>
        <v>1.0003266418464649</v>
      </c>
    </row>
    <row r="25" spans="1:13" x14ac:dyDescent="0.3">
      <c r="A25" s="6" t="s">
        <v>13</v>
      </c>
      <c r="B25" s="6"/>
      <c r="C25" s="6"/>
      <c r="D25" s="54">
        <v>2013003.78</v>
      </c>
      <c r="E25" s="24">
        <v>1</v>
      </c>
      <c r="F25" s="8" t="s">
        <v>5</v>
      </c>
      <c r="G25" s="8"/>
      <c r="H25" s="5"/>
      <c r="I25" s="5"/>
      <c r="J25" s="7">
        <f>D25</f>
        <v>2013003.78</v>
      </c>
      <c r="K25" s="5"/>
      <c r="L25" s="5"/>
    </row>
    <row r="26" spans="1:13" x14ac:dyDescent="0.3">
      <c r="A26" s="6" t="s">
        <v>14</v>
      </c>
      <c r="B26" s="6"/>
      <c r="C26" s="6"/>
      <c r="D26" s="54">
        <v>9596818.5800000001</v>
      </c>
      <c r="E26" s="24">
        <v>1</v>
      </c>
      <c r="F26" s="8" t="s">
        <v>5</v>
      </c>
      <c r="G26" s="8"/>
      <c r="H26" s="5"/>
      <c r="I26" s="5"/>
      <c r="J26" s="7">
        <f>D26</f>
        <v>9596818.5800000001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12234822.359999999</v>
      </c>
      <c r="K29" s="46">
        <f>SUM(K21:K28)</f>
        <v>0.99999999999999867</v>
      </c>
      <c r="L29" s="46">
        <f>SUM(L21:L28)</f>
        <v>1.0003266418464649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0.59130932824283267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4.4996561695769197E-2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12234822.359999999</v>
      </c>
      <c r="K37" s="67">
        <f>K24</f>
        <v>0.36369411006139685</v>
      </c>
      <c r="L37" s="67">
        <f>L24</f>
        <v>1.0003266418464649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12234822.359999999</v>
      </c>
      <c r="K38" s="46">
        <f>SUM(K34:K37)</f>
        <v>0.99999999999999867</v>
      </c>
      <c r="L38" s="46">
        <f>SUM(L34:L37)</f>
        <v>1.0003266418464649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2024-10-28T12:01:47Z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