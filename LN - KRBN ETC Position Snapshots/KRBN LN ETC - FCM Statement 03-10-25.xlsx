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2820162D-EB04-43C7-834B-2EFB3EA1EFE8}" xr6:coauthVersionLast="47" xr6:coauthVersionMax="47" xr10:uidLastSave="{8FC740C3-6352-4609-BA2A-6C33431E4AD3}"/>
  <bookViews>
    <workbookView xWindow="30030" yWindow="4740" windowWidth="22110" windowHeight="9735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10" i="1"/>
  <c r="L17" i="1" s="1"/>
  <c r="K43" i="1"/>
  <c r="L37" i="1"/>
  <c r="L40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<sst xmlns="http://schemas.openxmlformats.org/spreadsheetml/2006/main" count="103" uniqueCount="56">
  <si>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</si>
  <si>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</si>
  <si>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</si>
  <si>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</si>
  <si>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</si>
  <si>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</si>
  <si>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</si>
  <si>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</si>
  <si>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</si>
  <si>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</si>
  <si>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</si>
  <si>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</si>
  <si>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</si>
  <si>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</si>
  <si>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</si>
  <si>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</si>
  <si>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</si>
  <si>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</si>
  <si>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</si>
  <si>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</si>
  <si>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</si>
  <si>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</si>
  <si>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</si>
  <si>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</si>
  <si>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</si>
  <si>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</si>
  <si>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</si>
  <si>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</si>
  <si>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</si>
  <si>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</si>
  <si>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</si>
  <si>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</si>
  <si>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</si>
  <si>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</si>
  <si>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</si>
  <si>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</si>
  <si>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</si>
  <si>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</si>
  <si>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</si>
  <si>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</si>
  <si>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</si>
  <si>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</si>
  <si>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</si>
  <si>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</si>
  <si>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</si>
  <si>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</si>
  <si>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</si>
  <si>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</si>
  <si>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</si>
  <si>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</si>
  <si>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ECH5 Curncy</t>
  </si>
  <si>
    <t>EUR Cash in BBH</t>
  </si>
  <si>
    <t>EURO in CFC</t>
  </si>
  <si>
    <t>GBP Cash in BBH</t>
  </si>
  <si>
    <t>GBP in CFC</t>
  </si>
  <si>
    <t>EURO FX CURR FUT  Mar25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</si>
</sst>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45726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11462404.17</v>
      </c>
      <c r="J6" t="s">
        <v>25</v>
      </c>
    </row>
    <row r="7" spans="1:12" x14ac:dyDescent="0.3">
      <c r="J7" s="57">
        <f>(D28+D29)/B6</f>
        <v>0.94783441404334989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1.0837523842552454</v>
      </c>
      <c r="H10" s="49">
        <v>69.010000000000005</v>
      </c>
      <c r="I10" s="4"/>
      <c r="J10" s="9">
        <f>D10*E10*G10*H10</f>
        <v>6431918.6752210865</v>
      </c>
      <c r="K10" s="54">
        <v>0.57480730545897996</v>
      </c>
      <c r="L10" s="20">
        <f t="shared" ref="L10:L15" si="0">J10/$B$6</f>
        <v>0.56113172941982259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1.0837523842552454</v>
      </c>
      <c r="H11" s="49">
        <v>71.05</v>
      </c>
      <c r="I11" s="4"/>
      <c r="J11" s="9">
        <f t="shared" ref="J11:J12" si="1">D11*E11*G11*H11</f>
        <v>616004.85521068156</v>
      </c>
      <c r="K11" s="54">
        <v>5.2265111993422701E-2</v>
      </c>
      <c r="L11" s="20">
        <f t="shared" si="0"/>
        <v>5.3741330882653877E-2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1.2903558801517458</v>
      </c>
      <c r="H12" s="49">
        <v>39.299999999999997</v>
      </c>
      <c r="I12" s="4"/>
      <c r="J12" s="9">
        <f t="shared" si="1"/>
        <v>608531.83307956322</v>
      </c>
      <c r="K12" s="54">
        <v>5.3794434695093103E-2</v>
      </c>
      <c r="L12" s="20">
        <f t="shared" si="0"/>
        <v>5.308937148388506E-2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31.89</v>
      </c>
      <c r="I13" s="4"/>
      <c r="J13" s="9">
        <f>D13*E13*H13</f>
        <v>2009070</v>
      </c>
      <c r="K13" s="54">
        <v>0.18279740043336801</v>
      </c>
      <c r="L13" s="20">
        <f t="shared" si="0"/>
        <v>0.17527474779315866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33.85</v>
      </c>
      <c r="I14" s="4"/>
      <c r="J14" s="9">
        <f>D14*E14*H14</f>
        <v>541600</v>
      </c>
      <c r="K14" s="54">
        <v>4.5795674371856103E-2</v>
      </c>
      <c r="L14" s="20">
        <f t="shared" ref="L14" si="2">J14/$B$6</f>
        <v>4.7250122397315533E-2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20.64</v>
      </c>
      <c r="I15" s="4"/>
      <c r="J15" s="9">
        <f>D15*E15*H15</f>
        <v>495360</v>
      </c>
      <c r="K15" s="54">
        <v>4.5283529435753402E-2</v>
      </c>
      <c r="L15" s="20">
        <f t="shared" si="0"/>
        <v>4.3216064680085348E-2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52.2</v>
      </c>
      <c r="I16" s="11"/>
      <c r="J16" s="13">
        <f>D16*E16*H16</f>
        <v>522000</v>
      </c>
      <c r="K16" s="55">
        <v>4.5256543611525701E-2</v>
      </c>
      <c r="L16" s="20">
        <f>J16/$B$6</f>
        <v>4.5540184437589934E-2</v>
      </c>
    </row>
    <row r="17" spans="1:13" ht="15" thickBot="1" x14ac:dyDescent="0.35">
      <c r="J17" s="33">
        <f>SUM(J10:J16)</f>
        <v>11224485.363511331</v>
      </c>
      <c r="K17" s="34">
        <f>SUM(K10:K16)</f>
        <v>0.99999999999999889</v>
      </c>
      <c r="L17" s="35">
        <f>SUM(L10:L16)</f>
        <v>0.97924355109451089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50</v>
      </c>
      <c r="C22" s="5" t="s">
        <v>55</v>
      </c>
      <c r="D22" s="48">
        <v>50</v>
      </c>
      <c r="E22" s="46">
        <v>125000</v>
      </c>
      <c r="F22" s="4" t="s">
        <v>5</v>
      </c>
      <c r="G22" s="22"/>
      <c r="H22" s="53">
        <v>1.0833999999999999</v>
      </c>
      <c r="I22" s="22"/>
      <c r="J22" s="6">
        <f>D22*E22*H22</f>
        <v>6771249.9999999991</v>
      </c>
      <c r="K22" s="26">
        <f>SUM(K10:K11)</f>
        <v>0.62707241745240261</v>
      </c>
      <c r="L22" s="24">
        <f>SUM(J22:J24)/$B$6</f>
        <v>0.63000457305088187</v>
      </c>
      <c r="M22" s="18"/>
    </row>
    <row r="23" spans="1:13" x14ac:dyDescent="0.3">
      <c r="A23" s="4" t="s">
        <v>51</v>
      </c>
      <c r="B23" s="5"/>
      <c r="C23" s="5"/>
      <c r="D23" s="49"/>
      <c r="E23" s="60">
        <v>1</v>
      </c>
      <c r="F23" s="4" t="s">
        <v>4</v>
      </c>
      <c r="G23" s="66">
        <v>1.0837523842552454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52</v>
      </c>
      <c r="B24" s="12"/>
      <c r="C24" s="12"/>
      <c r="D24" s="52">
        <v>415332</v>
      </c>
      <c r="E24" s="25">
        <v>1</v>
      </c>
      <c r="F24" s="11" t="s">
        <v>4</v>
      </c>
      <c r="G24" s="61">
        <v>1.0837523842552454</v>
      </c>
      <c r="H24" s="11"/>
      <c r="I24" s="11"/>
      <c r="J24" s="13">
        <f>D24*G24</f>
        <v>450117.04525749962</v>
      </c>
      <c r="K24" s="27"/>
      <c r="L24" s="28"/>
    </row>
    <row r="25" spans="1:13" x14ac:dyDescent="0.3">
      <c r="A25" s="7" t="s">
        <v>53</v>
      </c>
      <c r="B25" s="7"/>
      <c r="C25" s="7"/>
      <c r="D25" s="67"/>
      <c r="E25" s="23">
        <v>1</v>
      </c>
      <c r="F25" s="7" t="s">
        <v>22</v>
      </c>
      <c r="G25" s="68">
        <v>1.2903558801517458</v>
      </c>
      <c r="H25" s="7"/>
      <c r="I25" s="7"/>
      <c r="J25" s="9">
        <f>D25*G25</f>
        <v>0</v>
      </c>
      <c r="K25" s="69">
        <f>K12</f>
        <v>5.3794434695093103E-2</v>
      </c>
      <c r="L25" s="69">
        <f>(SUM(J25:J26))/B6</f>
        <v>4.5324994617925531E-2</v>
      </c>
    </row>
    <row r="26" spans="1:13" ht="15" thickBot="1" x14ac:dyDescent="0.35">
      <c r="A26" s="64" t="s">
        <v>54</v>
      </c>
      <c r="B26" s="11"/>
      <c r="C26" s="11"/>
      <c r="D26" s="52">
        <v>402628</v>
      </c>
      <c r="E26" s="25">
        <v>1</v>
      </c>
      <c r="F26" s="11" t="s">
        <v>22</v>
      </c>
      <c r="G26" s="61">
        <v>1.2903558801517458</v>
      </c>
      <c r="H26" s="11"/>
      <c r="I26" s="11"/>
      <c r="J26" s="13">
        <f>D26*G26</f>
        <v>519533.40731373715</v>
      </c>
      <c r="K26" s="27"/>
      <c r="L26" s="27"/>
    </row>
    <row r="27" spans="1:13" x14ac:dyDescent="0.3">
      <c r="A27" s="7" t="s">
        <v>8</v>
      </c>
      <c r="B27" s="8" t="s">
        <v>50</v>
      </c>
      <c r="C27" s="8" t="s">
        <v>55</v>
      </c>
      <c r="D27" s="46">
        <v>-50</v>
      </c>
      <c r="E27" s="23">
        <v>-125000</v>
      </c>
      <c r="F27" s="7" t="s">
        <v>5</v>
      </c>
      <c r="G27" s="7"/>
      <c r="H27" s="7"/>
      <c r="I27" s="7"/>
      <c r="J27" s="9">
        <f>-J22</f>
        <v>-6771249.9999999991</v>
      </c>
      <c r="K27" s="65">
        <f>SUM(K13:K16)</f>
        <v>0.31913314785250324</v>
      </c>
      <c r="L27" s="20">
        <f>SUM(J27:J31)/$B$6</f>
        <v>0.32464554052003586</v>
      </c>
    </row>
    <row r="28" spans="1:13" x14ac:dyDescent="0.3">
      <c r="A28" s="5" t="s">
        <v>13</v>
      </c>
      <c r="B28" s="5"/>
      <c r="C28" s="5"/>
      <c r="D28" s="49">
        <v>1820521.97</v>
      </c>
      <c r="E28" s="23">
        <v>1</v>
      </c>
      <c r="F28" s="7" t="s">
        <v>5</v>
      </c>
      <c r="G28" s="7"/>
      <c r="H28" s="4"/>
      <c r="I28" s="4"/>
      <c r="J28" s="6">
        <f>D28</f>
        <v>1820521.97</v>
      </c>
      <c r="K28" s="4"/>
      <c r="L28" s="4"/>
    </row>
    <row r="29" spans="1:13" x14ac:dyDescent="0.3">
      <c r="A29" s="5" t="s">
        <v>14</v>
      </c>
      <c r="B29" s="5"/>
      <c r="C29" s="5"/>
      <c r="D29" s="49">
        <v>9043939.1699999999</v>
      </c>
      <c r="E29" s="23">
        <v>1</v>
      </c>
      <c r="F29" s="7" t="s">
        <v>5</v>
      </c>
      <c r="G29" s="7"/>
      <c r="H29" s="4"/>
      <c r="I29" s="4"/>
      <c r="J29" s="6">
        <f>D29-J26-J24</f>
        <v>8074288.7174287625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597657.71</v>
      </c>
      <c r="E31" s="25">
        <v>1</v>
      </c>
      <c r="F31" s="11" t="s">
        <v>5</v>
      </c>
      <c r="G31" s="11"/>
      <c r="H31" s="11"/>
      <c r="I31" s="11"/>
      <c r="J31" s="13">
        <f>D31</f>
        <v>597657.71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11462118.849999998</v>
      </c>
      <c r="K32" s="42">
        <f>SUM(K22:K31)</f>
        <v>0.999999999999999</v>
      </c>
      <c r="L32" s="42">
        <f>SUM(L22:L31)</f>
        <v>0.99997510818884328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50</v>
      </c>
      <c r="C37" s="38" t="s">
        <v>55</v>
      </c>
      <c r="D37" s="23">
        <v>50</v>
      </c>
      <c r="E37" s="23">
        <v>125000</v>
      </c>
      <c r="F37" s="4" t="s">
        <v>5</v>
      </c>
      <c r="G37" s="22"/>
      <c r="H37" s="31">
        <v>1.0833999999999999</v>
      </c>
      <c r="I37" s="22"/>
      <c r="J37" s="6">
        <f>J22</f>
        <v>6771249.9999999991</v>
      </c>
      <c r="K37" s="26">
        <f>SUM(K10:K11)</f>
        <v>0.62707241745240261</v>
      </c>
      <c r="L37" s="24">
        <f>SUM(J37:J39)/$B$6</f>
        <v>0.63000457305088187</v>
      </c>
    </row>
    <row r="38" spans="1:12" x14ac:dyDescent="0.3">
      <c r="A38" s="4" t="s">
        <v>51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52</v>
      </c>
      <c r="B39" s="11"/>
      <c r="C39" s="11"/>
      <c r="D39" s="29">
        <v>415332</v>
      </c>
      <c r="E39" s="25"/>
      <c r="F39" s="11" t="s">
        <v>4</v>
      </c>
      <c r="G39" s="11"/>
      <c r="H39" s="11"/>
      <c r="I39" s="11"/>
      <c r="J39" s="29">
        <f>J24</f>
        <v>450117.04525749962</v>
      </c>
      <c r="K39" s="27"/>
      <c r="L39" s="28"/>
    </row>
    <row r="40" spans="1:12" x14ac:dyDescent="0.3">
      <c r="A40" s="7" t="s">
        <v>53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5.3794434695093103E-2</v>
      </c>
      <c r="L40" s="69">
        <f>(SUM(J40:J41))/$B$6</f>
        <v>4.5324994617925531E-2</v>
      </c>
    </row>
    <row r="41" spans="1:12" ht="15" thickBot="1" x14ac:dyDescent="0.35">
      <c r="A41" s="11" t="s">
        <v>54</v>
      </c>
      <c r="B41" s="11"/>
      <c r="C41" s="11"/>
      <c r="D41" s="29">
        <v>402628</v>
      </c>
      <c r="E41" s="25"/>
      <c r="F41" s="11" t="s">
        <v>22</v>
      </c>
      <c r="G41" s="11"/>
      <c r="H41" s="11"/>
      <c r="I41" s="11"/>
      <c r="J41" s="29">
        <f>J26</f>
        <v>519533.40731373715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3721218.3974287631</v>
      </c>
      <c r="K42" s="71">
        <f>K27</f>
        <v>0.31913314785250324</v>
      </c>
      <c r="L42" s="71">
        <f>L27</f>
        <v>0.32464554052003586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11462118.849999998</v>
      </c>
      <c r="K43" s="42">
        <f>SUM(K37:K42)</f>
        <v>0.999999999999999</v>
      </c>
      <c r="L43" s="42">
        <f>SUM(L37:L42)</f>
        <v>0.99997510818884328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2025-03-11T12:30:41Z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