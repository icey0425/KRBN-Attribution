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FF7BBF5-34B3-4054-B88C-316AA51FB4C7}" xr6:coauthVersionLast="47" xr6:coauthVersionMax="47" xr10:uidLastSave="{770E4A83-3DB1-4664-8600-8CE7EB072492}"/>
  <bookViews>
    <workbookView xWindow="30315" yWindow="4200" windowWidth="22095" windowHeight="994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<sst xmlns="http://schemas.openxmlformats.org/spreadsheetml/2006/main" count="95" uniqueCount="54">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</sst>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35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36</v>
      </c>
      <c r="J2" s="48"/>
      <c r="K2" s="49"/>
      <c r="L2" s="50"/>
    </row>
    <row r="3" spans="1:12" x14ac:dyDescent="0.3">
      <c r="A3" t="s">
        <v>15</v>
      </c>
      <c r="B3" s="62">
        <v>45638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11471298.640000001</v>
      </c>
      <c r="J6" t="s">
        <v>27</v>
      </c>
    </row>
    <row r="7" spans="1:12" x14ac:dyDescent="0.3">
      <c r="J7" s="63">
        <f>(D26+D27)/B6</f>
        <v>0.94645949780625693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1.0473946059177794</v>
      </c>
      <c r="H10" s="54">
        <v>68.17</v>
      </c>
      <c r="I10" s="5"/>
      <c r="J10" s="10">
        <f>D10*E10*G10*H10</f>
        <v>6140476.5645456919</v>
      </c>
      <c r="K10" s="60">
        <v>0.54768815668818305</v>
      </c>
      <c r="L10" s="21">
        <f t="shared" ref="L10:L15" si="0">J10/$B$6</f>
        <v>0.53529044594254338</v>
      </c>
    </row>
    <row r="11" spans="1:12" x14ac:dyDescent="0.3">
      <c r="A11" s="5" t="s">
        <v>37</v>
      </c>
      <c r="B11" s="6" t="s">
        <v>38</v>
      </c>
      <c r="C11" s="9" t="s">
        <v>39</v>
      </c>
      <c r="D11" s="53">
        <v>8</v>
      </c>
      <c r="E11" s="51">
        <v>1000</v>
      </c>
      <c r="F11" s="5" t="s">
        <v>4</v>
      </c>
      <c r="G11" s="70">
        <v>1.0473946059177794</v>
      </c>
      <c r="H11" s="54">
        <v>70.150000000000006</v>
      </c>
      <c r="I11" s="5"/>
      <c r="J11" s="10">
        <f t="shared" ref="J11:J12" si="1">D11*E11*G11*H11</f>
        <v>587797.85284105793</v>
      </c>
      <c r="K11" s="60">
        <v>4.9774313918037001E-2</v>
      </c>
      <c r="L11" s="21">
        <f t="shared" si="0"/>
        <v>5.124074189747168E-2</v>
      </c>
    </row>
    <row r="12" spans="1:12" x14ac:dyDescent="0.3">
      <c r="A12" s="5" t="s">
        <v>40</v>
      </c>
      <c r="B12" s="6" t="s">
        <v>41</v>
      </c>
      <c r="C12" s="9" t="s">
        <v>42</v>
      </c>
      <c r="D12" s="53">
        <v>12</v>
      </c>
      <c r="E12" s="51">
        <v>1000</v>
      </c>
      <c r="F12" s="5" t="s">
        <v>22</v>
      </c>
      <c r="G12" s="70">
        <v>1.2690033247887109</v>
      </c>
      <c r="H12" s="54">
        <v>36.4</v>
      </c>
      <c r="I12" s="5"/>
      <c r="J12" s="10">
        <f t="shared" si="1"/>
        <v>554300.65226770891</v>
      </c>
      <c r="K12" s="60">
        <v>4.8904252174599497E-2</v>
      </c>
      <c r="L12" s="21">
        <f t="shared" si="0"/>
        <v>4.8320653978520159E-2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35.979999999999997</v>
      </c>
      <c r="I13" s="5"/>
      <c r="J13" s="10">
        <f>D13*E13*H13</f>
        <v>2266740</v>
      </c>
      <c r="K13" s="60">
        <v>0.205836789800658</v>
      </c>
      <c r="L13" s="21">
        <f t="shared" si="0"/>
        <v>0.19760099280267712</v>
      </c>
    </row>
    <row r="14" spans="1:12" x14ac:dyDescent="0.3">
      <c r="A14" s="5" t="s">
        <v>43</v>
      </c>
      <c r="B14" s="6" t="s">
        <v>44</v>
      </c>
      <c r="C14" s="9" t="s">
        <v>45</v>
      </c>
      <c r="D14" s="53">
        <v>16</v>
      </c>
      <c r="E14" s="51">
        <v>1000</v>
      </c>
      <c r="F14" s="5" t="s">
        <v>5</v>
      </c>
      <c r="G14" s="52"/>
      <c r="H14" s="54">
        <v>38.159999999999997</v>
      </c>
      <c r="I14" s="5"/>
      <c r="J14" s="10">
        <f>D14*E14*H14</f>
        <v>610560</v>
      </c>
      <c r="K14" s="60">
        <v>5.1525296152498901E-2</v>
      </c>
      <c r="L14" s="21">
        <f t="shared" ref="L14" si="2">J14/$B$6</f>
        <v>5.3225011322693624E-2</v>
      </c>
    </row>
    <row r="15" spans="1:12" x14ac:dyDescent="0.3">
      <c r="A15" s="5" t="s">
        <v>46</v>
      </c>
      <c r="B15" s="6" t="s">
        <v>47</v>
      </c>
      <c r="C15" s="9" t="s">
        <v>48</v>
      </c>
      <c r="D15" s="53">
        <v>24</v>
      </c>
      <c r="E15" s="51">
        <v>1000</v>
      </c>
      <c r="F15" s="5" t="s">
        <v>5</v>
      </c>
      <c r="G15" s="5"/>
      <c r="H15" s="54">
        <v>23.22</v>
      </c>
      <c r="I15" s="5"/>
      <c r="J15" s="10">
        <f>D15*E15*H15</f>
        <v>557280</v>
      </c>
      <c r="K15" s="60">
        <v>5.0843932816581297E-2</v>
      </c>
      <c r="L15" s="21">
        <f t="shared" si="0"/>
        <v>4.8580375900666113E-2</v>
      </c>
    </row>
    <row r="16" spans="1:12" ht="15" thickBot="1" x14ac:dyDescent="0.35">
      <c r="A16" s="12" t="s">
        <v>49</v>
      </c>
      <c r="B16" s="13" t="s">
        <v>50</v>
      </c>
      <c r="C16" s="13" t="s">
        <v>51</v>
      </c>
      <c r="D16" s="55">
        <v>10</v>
      </c>
      <c r="E16" s="56">
        <v>1000</v>
      </c>
      <c r="F16" s="12" t="s">
        <v>5</v>
      </c>
      <c r="G16" s="12"/>
      <c r="H16" s="57">
        <v>52.5</v>
      </c>
      <c r="I16" s="12"/>
      <c r="J16" s="14">
        <f>D16*E16*H16</f>
        <v>525000</v>
      </c>
      <c r="K16" s="61">
        <v>4.5427258449440101E-2</v>
      </c>
      <c r="L16" s="21">
        <f>J16/$B$6</f>
        <v>4.5766396331915211E-2</v>
      </c>
    </row>
    <row r="17" spans="1:13" ht="15" thickBot="1" x14ac:dyDescent="0.35">
      <c r="J17" s="35">
        <f>SUM(J10:J16)</f>
        <v>11242155.069654459</v>
      </c>
      <c r="K17" s="36">
        <f>SUM(K10:K16)</f>
        <v>0.99999999999999778</v>
      </c>
      <c r="L17" s="37">
        <f>SUM(L10:L16)</f>
        <v>0.98002461817648734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52</v>
      </c>
      <c r="C22" s="6" t="s">
        <v>53</v>
      </c>
      <c r="D22" s="53">
        <v>52</v>
      </c>
      <c r="E22" s="51">
        <v>125000</v>
      </c>
      <c r="F22" s="5" t="s">
        <v>5</v>
      </c>
      <c r="G22" s="23"/>
      <c r="H22" s="58">
        <v>1.0516000000000001</v>
      </c>
      <c r="I22" s="23"/>
      <c r="J22" s="7">
        <f>D22*E22*H22</f>
        <v>6835400.0000000009</v>
      </c>
      <c r="K22" s="27">
        <f>SUM(K10:K11)</f>
        <v>0.59746247060622004</v>
      </c>
      <c r="L22" s="25">
        <f>SUM(J22:J23)/$B$6</f>
        <v>0.59586976283271098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1.0473946059177794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1.2690033247887109</v>
      </c>
      <c r="H24" s="41"/>
      <c r="I24" s="41"/>
      <c r="J24" s="43">
        <f>D24*G24</f>
        <v>0</v>
      </c>
      <c r="K24" s="44">
        <f>K12</f>
        <v>4.8904252174599497E-2</v>
      </c>
      <c r="L24" s="44">
        <f>J24/B6</f>
        <v>0</v>
      </c>
    </row>
    <row r="25" spans="1:13" x14ac:dyDescent="0.3">
      <c r="A25" s="5" t="s">
        <v>8</v>
      </c>
      <c r="B25" s="6" t="s">
        <v>52</v>
      </c>
      <c r="C25" s="6" t="s">
        <v>53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-6835400.0000000009</v>
      </c>
      <c r="K25" s="29">
        <f>SUM(K13:K16)</f>
        <v>0.35363327721917831</v>
      </c>
      <c r="L25" s="25">
        <f>SUM(J25:J29)/$B$6</f>
        <v>0.40419295369334041</v>
      </c>
    </row>
    <row r="26" spans="1:13" x14ac:dyDescent="0.3">
      <c r="A26" s="6" t="s">
        <v>13</v>
      </c>
      <c r="B26" s="6"/>
      <c r="C26" s="6"/>
      <c r="D26" s="54">
        <v>1946148.78</v>
      </c>
      <c r="E26" s="24">
        <v>1</v>
      </c>
      <c r="F26" s="8" t="s">
        <v>5</v>
      </c>
      <c r="G26" s="8"/>
      <c r="H26" s="5"/>
      <c r="I26" s="5"/>
      <c r="J26" s="7">
        <f>D26</f>
        <v>1946148.78</v>
      </c>
      <c r="K26" s="5"/>
      <c r="L26" s="5"/>
    </row>
    <row r="27" spans="1:13" x14ac:dyDescent="0.3">
      <c r="A27" s="6" t="s">
        <v>14</v>
      </c>
      <c r="B27" s="6"/>
      <c r="C27" s="6"/>
      <c r="D27" s="54">
        <v>8910970.7699999996</v>
      </c>
      <c r="E27" s="24">
        <v>1</v>
      </c>
      <c r="F27" s="8" t="s">
        <v>5</v>
      </c>
      <c r="G27" s="8"/>
      <c r="H27" s="5"/>
      <c r="I27" s="5"/>
      <c r="J27" s="7">
        <f>D27</f>
        <v>8910970.7699999996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614898.53</v>
      </c>
      <c r="E29" s="26">
        <v>1</v>
      </c>
      <c r="F29" s="12" t="s">
        <v>5</v>
      </c>
      <c r="G29" s="12"/>
      <c r="H29" s="12"/>
      <c r="I29" s="12"/>
      <c r="J29" s="14">
        <f>D29</f>
        <v>614898.53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11472018.079999998</v>
      </c>
      <c r="K30" s="46">
        <f>SUM(K22:K29)</f>
        <v>0.99999999999999778</v>
      </c>
      <c r="L30" s="46">
        <f>SUM(L22:L29)</f>
        <v>1.0000627165260514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52</v>
      </c>
      <c r="C35" s="40" t="s">
        <v>53</v>
      </c>
      <c r="D35" s="24">
        <v>52</v>
      </c>
      <c r="E35" s="24">
        <v>125000</v>
      </c>
      <c r="F35" s="5" t="s">
        <v>5</v>
      </c>
      <c r="G35" s="23"/>
      <c r="H35" s="33">
        <v>1.0516000000000001</v>
      </c>
      <c r="I35" s="23"/>
      <c r="J35" s="7">
        <f>J22</f>
        <v>6835400.0000000009</v>
      </c>
      <c r="K35" s="27">
        <f>SUM(K10:K11)</f>
        <v>0.59746247060622004</v>
      </c>
      <c r="L35" s="25">
        <f>SUM(J35:J36)/$B$6</f>
        <v>0.59586976283271098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4.8904252174599497E-2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4636618.0799999991</v>
      </c>
      <c r="K38" s="67">
        <f>K25</f>
        <v>0.35363327721917831</v>
      </c>
      <c r="L38" s="67">
        <f>L25</f>
        <v>0.40419295369334041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11472018.08</v>
      </c>
      <c r="K39" s="46">
        <f>SUM(K35:K38)</f>
        <v>0.99999999999999778</v>
      </c>
      <c r="L39" s="46">
        <f>SUM(L35:L38)</f>
        <v>1.0000627165260514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2024-12-13T12:47:32Z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