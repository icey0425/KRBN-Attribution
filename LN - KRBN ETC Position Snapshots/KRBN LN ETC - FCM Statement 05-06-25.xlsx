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kraneshares-my.sharepoint.com/personal/georgia_kammas_kraneshares_com/Documents/CapitalMarkets2.0/KRBN Docs/LN - KRBN ETC Position Snapshots/"/>
    </mc:Choice>
  </mc:AlternateContent>
  <xr:revisionPtr revIDLastSave="2" documentId="8_{DA2F3529-E509-48AD-88FE-CE97FBE66EC9}" xr6:coauthVersionLast="47" xr6:coauthVersionMax="47" xr10:uidLastSave="{3BA7C2E0-C6D3-4492-90B0-CF4C0A865F64}"/>
  <bookViews>
    <workbookView xWindow="30060" yWindow="4440" windowWidth="22110" windowHeight="9990" xr2:uid="{C2889EAE-1B00-4717-B291-92943FB680D2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K40" i="1" l="1"/>
  <c r="K37" i="1"/>
  <c r="J31" i="1"/>
  <c r="J28" i="1"/>
  <c r="K27" i="1"/>
  <c r="K42" i="1" s="1"/>
  <c r="J26" i="1"/>
  <c r="J41" i="1" s="1"/>
  <c r="K25" i="1"/>
  <c r="J25" i="1"/>
  <c r="J24" i="1"/>
  <c r="J39" i="1" s="1"/>
  <c r="J23" i="1"/>
  <c r="J38" i="1" s="1"/>
  <c r="K22" i="1"/>
  <c r="J22" i="1"/>
  <c r="J37" i="1" s="1"/>
  <c r="K17" i="1"/>
  <c r="J16" i="1"/>
  <c r="L16" i="1" s="1"/>
  <c r="J15" i="1"/>
  <c r="L15" i="1" s="1"/>
  <c r="J14" i="1"/>
  <c r="L14" i="1" s="1"/>
  <c r="J13" i="1"/>
  <c r="L13" i="1" s="1"/>
  <c r="J12" i="1"/>
  <c r="L12" i="1" s="1"/>
  <c r="J11" i="1"/>
  <c r="L11" i="1" s="1"/>
  <c r="J10" i="1"/>
  <c r="J7" i="1"/>
  <c r="K32" i="1" l="1"/>
  <c r="J17" i="1"/>
  <c r="L25" i="1"/>
  <c r="J29" i="1"/>
  <c r="J40" i="1"/>
  <c r="L40" i="1" s="1"/>
  <c r="L10" i="1"/>
  <c r="L17" i="1" s="1"/>
  <c r="K43" i="1"/>
  <c r="L37" i="1"/>
  <c r="J27" i="1"/>
  <c r="L22" i="1"/>
  <c r="J32" i="1" l="1"/>
  <c r="J42" i="1"/>
  <c r="J43" i="1" s="1"/>
  <c r="L27" i="1"/>
  <c r="L42" i="1" s="1"/>
  <c r="L43" i="1" s="1"/>
  <c r="L32" i="1" l="1"/>
</calcChain>
</file>

<file path=xl/sharedStrings.xml><?xml version="1.0" encoding="utf-8"?>
<sst xmlns="http://schemas.openxmlformats.org/spreadsheetml/2006/main" count="103" uniqueCount="56">
  <si>
    <t>Security Name</t>
  </si>
  <si>
    <t>Contract</t>
  </si>
  <si>
    <t>FX</t>
  </si>
  <si>
    <t>Ccy</t>
  </si>
  <si>
    <t>EUR</t>
  </si>
  <si>
    <t>USD</t>
  </si>
  <si>
    <t>Prior Day Close Px</t>
  </si>
  <si>
    <t>Bbg ID</t>
  </si>
  <si>
    <t>EURO FX Fut</t>
  </si>
  <si>
    <t>Contract Size</t>
  </si>
  <si>
    <t>% NAV</t>
  </si>
  <si>
    <t>% Benchmark</t>
  </si>
  <si>
    <t>Collateral Exposure</t>
  </si>
  <si>
    <t>Initial Margin Req</t>
  </si>
  <si>
    <t>Excess Equity</t>
  </si>
  <si>
    <t>Statement Date:</t>
  </si>
  <si>
    <t>Collateral  - Summary View</t>
  </si>
  <si>
    <t>Current Exposure (USD)</t>
  </si>
  <si>
    <t>Position</t>
  </si>
  <si>
    <t>Total Assets:</t>
  </si>
  <si>
    <t>Create units:</t>
  </si>
  <si>
    <t>Inflows/Outflows:</t>
  </si>
  <si>
    <t>GBP</t>
  </si>
  <si>
    <t>USD Cash</t>
  </si>
  <si>
    <t>USD Cash / Margin</t>
  </si>
  <si>
    <t>CFC % of Fund AUM:</t>
  </si>
  <si>
    <t>Futures</t>
  </si>
  <si>
    <t>EUA 25</t>
  </si>
  <si>
    <t>MOZ25 Comdty</t>
  </si>
  <si>
    <t>ICE ECX Emission  Dec25</t>
  </si>
  <si>
    <t>CCA 25</t>
  </si>
  <si>
    <t>BCYZ25 Comdty</t>
  </si>
  <si>
    <t>CA Carbon Allow V25 Dec25</t>
  </si>
  <si>
    <t>KRBN LN ETC FCM Statement</t>
  </si>
  <si>
    <t>TTS23073</t>
  </si>
  <si>
    <t>EUA 26</t>
  </si>
  <si>
    <t>MOZ26 Comdty</t>
  </si>
  <si>
    <t>ICE ECX Emission  Dec26</t>
  </si>
  <si>
    <t>UKA 25</t>
  </si>
  <si>
    <t>UKEZ5 Comdty</t>
  </si>
  <si>
    <t>UK Emission Allow Dec25</t>
  </si>
  <si>
    <t>CCA 26</t>
  </si>
  <si>
    <t>KBCZ26 Comdty</t>
  </si>
  <si>
    <t>CCA Vintage 2026  Dec26</t>
  </si>
  <si>
    <t>RGGI 25</t>
  </si>
  <si>
    <t>JELZ25 Comdty</t>
  </si>
  <si>
    <t>Reg GH Gas Vnt 25 Dec25</t>
  </si>
  <si>
    <t>WCA 25</t>
  </si>
  <si>
    <t>WKCZ25 Comdty</t>
  </si>
  <si>
    <t>Wsh Car All V2025 Dec25</t>
  </si>
  <si>
    <t>EUR Cash in BBH</t>
  </si>
  <si>
    <t>EURO in CFC</t>
  </si>
  <si>
    <t>GBP Cash in BBH</t>
  </si>
  <si>
    <t>GBP in CFC</t>
  </si>
  <si>
    <t>ECM5 Curncy</t>
  </si>
  <si>
    <t>EURO FX CURR FUT  Jun25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</si>
</sst>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0000_);_(* \(#,##0.00000\);_(* &quot;-&quot;??_);_(@_)"/>
    <numFmt numFmtId="166" formatCode="0.0%"/>
    <numFmt numFmtId="167" formatCode="0.00000"/>
    <numFmt numFmtId="168" formatCode="0.000000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sz val="16"/>
      <color theme="1"/>
      <name val="Calibri"/>
      <family val="2"/>
      <scheme val="minor"/>
    </font>
    <font>
      <b/>
      <i/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4">
    <xf numFmtId="0" fontId="0" fillId="0" borderId="0" xfId="0"/>
    <xf numFmtId="0" fontId="0" fillId="0" borderId="0" xfId="0" quotePrefix="1"/>
    <xf numFmtId="0" fontId="2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1" xfId="0" applyBorder="1"/>
    <xf numFmtId="0" fontId="0" fillId="0" borderId="1" xfId="0" quotePrefix="1" applyBorder="1"/>
    <xf numFmtId="43" fontId="0" fillId="0" borderId="1" xfId="1" applyFont="1" applyBorder="1"/>
    <xf numFmtId="0" fontId="0" fillId="0" borderId="3" xfId="0" applyBorder="1"/>
    <xf numFmtId="0" fontId="0" fillId="0" borderId="3" xfId="0" quotePrefix="1" applyBorder="1"/>
    <xf numFmtId="43" fontId="0" fillId="0" borderId="3" xfId="1" applyFont="1" applyBorder="1"/>
    <xf numFmtId="0" fontId="4" fillId="2" borderId="5" xfId="0" applyFont="1" applyFill="1" applyBorder="1" applyAlignment="1">
      <alignment horizontal="center" vertical="center" wrapText="1"/>
    </xf>
    <xf numFmtId="0" fontId="0" fillId="0" borderId="7" xfId="0" applyBorder="1"/>
    <xf numFmtId="0" fontId="0" fillId="0" borderId="7" xfId="0" quotePrefix="1" applyBorder="1"/>
    <xf numFmtId="43" fontId="0" fillId="0" borderId="7" xfId="1" applyFont="1" applyBorder="1"/>
    <xf numFmtId="0" fontId="4" fillId="3" borderId="5" xfId="0" applyFont="1" applyFill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43" fontId="0" fillId="0" borderId="0" xfId="0" applyNumberFormat="1"/>
    <xf numFmtId="0" fontId="4" fillId="3" borderId="8" xfId="0" applyFont="1" applyFill="1" applyBorder="1" applyAlignment="1">
      <alignment horizontal="center" vertical="center" wrapText="1"/>
    </xf>
    <xf numFmtId="166" fontId="0" fillId="0" borderId="3" xfId="3" applyNumberFormat="1" applyFont="1" applyBorder="1"/>
    <xf numFmtId="0" fontId="5" fillId="0" borderId="0" xfId="0" applyFont="1"/>
    <xf numFmtId="0" fontId="0" fillId="0" borderId="6" xfId="0" applyBorder="1"/>
    <xf numFmtId="164" fontId="1" fillId="0" borderId="3" xfId="1" applyNumberFormat="1" applyFont="1" applyBorder="1"/>
    <xf numFmtId="166" fontId="0" fillId="0" borderId="1" xfId="3" applyNumberFormat="1" applyFont="1" applyBorder="1"/>
    <xf numFmtId="164" fontId="1" fillId="0" borderId="7" xfId="1" applyNumberFormat="1" applyFont="1" applyBorder="1"/>
    <xf numFmtId="166" fontId="0" fillId="0" borderId="1" xfId="1" applyNumberFormat="1" applyFont="1" applyBorder="1"/>
    <xf numFmtId="166" fontId="0" fillId="0" borderId="7" xfId="1" applyNumberFormat="1" applyFont="1" applyBorder="1"/>
    <xf numFmtId="166" fontId="0" fillId="0" borderId="7" xfId="3" applyNumberFormat="1" applyFont="1" applyBorder="1"/>
    <xf numFmtId="43" fontId="1" fillId="0" borderId="7" xfId="1" applyFont="1" applyBorder="1"/>
    <xf numFmtId="43" fontId="2" fillId="5" borderId="7" xfId="1" applyFont="1" applyFill="1" applyBorder="1"/>
    <xf numFmtId="165" fontId="1" fillId="0" borderId="1" xfId="1" applyNumberFormat="1" applyFont="1" applyBorder="1"/>
    <xf numFmtId="0" fontId="7" fillId="0" borderId="0" xfId="0" applyFont="1"/>
    <xf numFmtId="43" fontId="2" fillId="0" borderId="9" xfId="0" applyNumberFormat="1" applyFont="1" applyBorder="1"/>
    <xf numFmtId="166" fontId="2" fillId="0" borderId="2" xfId="0" applyNumberFormat="1" applyFont="1" applyBorder="1"/>
    <xf numFmtId="166" fontId="2" fillId="0" borderId="10" xfId="0" applyNumberFormat="1" applyFont="1" applyBorder="1"/>
    <xf numFmtId="43" fontId="0" fillId="0" borderId="0" xfId="0" quotePrefix="1" applyNumberFormat="1"/>
    <xf numFmtId="44" fontId="2" fillId="0" borderId="0" xfId="2" applyFont="1"/>
    <xf numFmtId="0" fontId="0" fillId="0" borderId="6" xfId="0" quotePrefix="1" applyBorder="1"/>
    <xf numFmtId="0" fontId="0" fillId="0" borderId="11" xfId="0" applyBorder="1"/>
    <xf numFmtId="164" fontId="1" fillId="0" borderId="11" xfId="1" applyNumberFormat="1" applyFont="1" applyBorder="1"/>
    <xf numFmtId="43" fontId="1" fillId="0" borderId="11" xfId="1" applyFont="1" applyBorder="1"/>
    <xf numFmtId="166" fontId="2" fillId="0" borderId="9" xfId="3" applyNumberFormat="1" applyFont="1" applyBorder="1"/>
    <xf numFmtId="0" fontId="8" fillId="0" borderId="0" xfId="0" applyFont="1" applyAlignment="1">
      <alignment wrapText="1"/>
    </xf>
    <xf numFmtId="0" fontId="8" fillId="0" borderId="0" xfId="0" applyFont="1" applyAlignment="1">
      <alignment horizontal="right"/>
    </xf>
    <xf numFmtId="44" fontId="9" fillId="0" borderId="0" xfId="2" applyFont="1" applyBorder="1"/>
    <xf numFmtId="164" fontId="1" fillId="0" borderId="3" xfId="1" applyNumberFormat="1" applyFont="1" applyFill="1" applyBorder="1"/>
    <xf numFmtId="0" fontId="2" fillId="0" borderId="3" xfId="0" applyFont="1" applyBorder="1"/>
    <xf numFmtId="164" fontId="2" fillId="0" borderId="1" xfId="1" applyNumberFormat="1" applyFont="1" applyFill="1" applyBorder="1"/>
    <xf numFmtId="43" fontId="2" fillId="0" borderId="1" xfId="1" applyFont="1" applyFill="1" applyBorder="1"/>
    <xf numFmtId="164" fontId="2" fillId="0" borderId="7" xfId="1" applyNumberFormat="1" applyFont="1" applyFill="1" applyBorder="1"/>
    <xf numFmtId="164" fontId="1" fillId="0" borderId="7" xfId="1" applyNumberFormat="1" applyFont="1" applyFill="1" applyBorder="1"/>
    <xf numFmtId="43" fontId="2" fillId="0" borderId="7" xfId="1" applyFont="1" applyFill="1" applyBorder="1"/>
    <xf numFmtId="165" fontId="2" fillId="0" borderId="6" xfId="1" applyNumberFormat="1" applyFont="1" applyFill="1" applyBorder="1"/>
    <xf numFmtId="166" fontId="0" fillId="5" borderId="3" xfId="3" applyNumberFormat="1" applyFont="1" applyFill="1" applyBorder="1"/>
    <xf numFmtId="166" fontId="0" fillId="5" borderId="7" xfId="3" applyNumberFormat="1" applyFont="1" applyFill="1" applyBorder="1"/>
    <xf numFmtId="14" fontId="0" fillId="0" borderId="0" xfId="0" applyNumberFormat="1"/>
    <xf numFmtId="10" fontId="0" fillId="0" borderId="0" xfId="3" applyNumberFormat="1" applyFont="1"/>
    <xf numFmtId="43" fontId="2" fillId="0" borderId="6" xfId="1" applyFont="1" applyFill="1" applyBorder="1"/>
    <xf numFmtId="43" fontId="0" fillId="0" borderId="6" xfId="1" applyFont="1" applyBorder="1"/>
    <xf numFmtId="164" fontId="1" fillId="0" borderId="1" xfId="1" applyNumberFormat="1" applyFont="1" applyBorder="1"/>
    <xf numFmtId="167" fontId="0" fillId="0" borderId="7" xfId="0" applyNumberFormat="1" applyBorder="1"/>
    <xf numFmtId="168" fontId="2" fillId="0" borderId="3" xfId="0" applyNumberFormat="1" applyFont="1" applyBorder="1"/>
    <xf numFmtId="0" fontId="0" fillId="0" borderId="11" xfId="0" quotePrefix="1" applyBorder="1"/>
    <xf numFmtId="0" fontId="0" fillId="6" borderId="7" xfId="0" applyFill="1" applyBorder="1"/>
    <xf numFmtId="166" fontId="0" fillId="0" borderId="3" xfId="0" applyNumberFormat="1" applyBorder="1"/>
    <xf numFmtId="167" fontId="0" fillId="0" borderId="1" xfId="0" applyNumberFormat="1" applyBorder="1"/>
    <xf numFmtId="43" fontId="2" fillId="0" borderId="3" xfId="1" applyFont="1" applyFill="1" applyBorder="1"/>
    <xf numFmtId="167" fontId="0" fillId="0" borderId="3" xfId="0" applyNumberFormat="1" applyBorder="1"/>
    <xf numFmtId="166" fontId="0" fillId="0" borderId="3" xfId="1" applyNumberFormat="1" applyFont="1" applyBorder="1"/>
    <xf numFmtId="164" fontId="2" fillId="0" borderId="11" xfId="1" applyNumberFormat="1" applyFont="1" applyBorder="1"/>
    <xf numFmtId="166" fontId="0" fillId="0" borderId="11" xfId="0" applyNumberFormat="1" applyBorder="1"/>
    <xf numFmtId="43" fontId="1" fillId="0" borderId="1" xfId="1" applyFont="1" applyBorder="1"/>
    <xf numFmtId="43" fontId="1" fillId="0" borderId="3" xfId="1" applyFont="1" applyBorder="1"/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13</xdr:col>
      <xdr:colOff>399009</xdr:colOff>
      <xdr:row>14</xdr:row>
      <xdr:rowOff>18731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1151-81C8-75AF-1D28-7843FE83AB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323809" cy="255238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14</xdr:col>
      <xdr:colOff>398933</xdr:colOff>
      <xdr:row>29</xdr:row>
      <xdr:rowOff>142563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7FA06BA-2498-028E-78B4-2714ECD24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2895600"/>
          <a:ext cx="8933333" cy="249523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9A8C2-A616-47E9-BB97-D3901FE29BC1}">
  <dimension ref="A1:M43"/>
  <sheetViews>
    <sheetView tabSelected="1" zoomScale="90" zoomScaleNormal="90" workbookViewId="0"/>
  </sheetViews>
  <sheetFormatPr defaultRowHeight="14.4" x14ac:dyDescent="0.3"/>
  <cols>
    <col min="1" max="1" width="17.77734375" customWidth="1"/>
    <col min="2" max="2" width="21.44140625" customWidth="1"/>
    <col min="3" max="3" width="33.5546875" bestFit="1" customWidth="1"/>
    <col min="4" max="4" width="17.21875" customWidth="1"/>
    <col min="5" max="5" width="10.77734375" customWidth="1"/>
    <col min="6" max="6" width="7.21875" customWidth="1"/>
    <col min="7" max="7" width="11.21875" customWidth="1"/>
    <col min="8" max="8" width="12.21875" customWidth="1"/>
    <col min="9" max="9" width="1.77734375" customWidth="1"/>
    <col min="10" max="10" width="24.44140625" customWidth="1"/>
    <col min="11" max="11" width="17.21875" customWidth="1"/>
    <col min="12" max="12" width="17.5546875" customWidth="1"/>
  </cols>
  <sheetData>
    <row r="1" spans="1:12" ht="22.95" customHeight="1" x14ac:dyDescent="0.45">
      <c r="A1" s="32" t="s">
        <v>33</v>
      </c>
      <c r="B1" s="21"/>
      <c r="C1" s="21"/>
      <c r="D1" s="21"/>
      <c r="E1" s="21"/>
      <c r="J1" s="43"/>
      <c r="K1" s="44"/>
      <c r="L1" s="45"/>
    </row>
    <row r="2" spans="1:12" ht="23.1" customHeight="1" x14ac:dyDescent="0.3">
      <c r="A2" t="s">
        <v>34</v>
      </c>
      <c r="J2" s="43"/>
      <c r="K2" s="44"/>
      <c r="L2" s="45"/>
    </row>
    <row r="3" spans="1:12" x14ac:dyDescent="0.3">
      <c r="A3" t="s">
        <v>15</v>
      </c>
      <c r="B3" s="56">
        <v>45783</v>
      </c>
    </row>
    <row r="4" spans="1:12" x14ac:dyDescent="0.3">
      <c r="A4" t="s">
        <v>20</v>
      </c>
      <c r="B4">
        <v>0</v>
      </c>
    </row>
    <row r="5" spans="1:12" x14ac:dyDescent="0.3">
      <c r="A5" t="s">
        <v>21</v>
      </c>
      <c r="B5">
        <v>0</v>
      </c>
    </row>
    <row r="6" spans="1:12" x14ac:dyDescent="0.3">
      <c r="A6" s="2" t="s">
        <v>19</v>
      </c>
      <c r="B6" s="37">
        <v>11800073.039999999</v>
      </c>
      <c r="J6" t="s">
        <v>25</v>
      </c>
    </row>
    <row r="7" spans="1:12" x14ac:dyDescent="0.3">
      <c r="J7" s="57">
        <f>(D28+D29)/B6</f>
        <v>0.95184876414968367</v>
      </c>
      <c r="K7" s="18"/>
    </row>
    <row r="8" spans="1:12" ht="15" thickBot="1" x14ac:dyDescent="0.35">
      <c r="A8" s="2" t="s">
        <v>26</v>
      </c>
    </row>
    <row r="9" spans="1:12" s="3" customFormat="1" ht="29.4" thickBot="1" x14ac:dyDescent="0.35">
      <c r="A9" s="15" t="s">
        <v>1</v>
      </c>
      <c r="B9" s="16" t="s">
        <v>7</v>
      </c>
      <c r="C9" s="16" t="s">
        <v>0</v>
      </c>
      <c r="D9" s="10" t="s">
        <v>18</v>
      </c>
      <c r="E9" s="10" t="s">
        <v>9</v>
      </c>
      <c r="F9" s="10" t="s">
        <v>3</v>
      </c>
      <c r="G9" s="10" t="s">
        <v>2</v>
      </c>
      <c r="H9" s="10" t="s">
        <v>6</v>
      </c>
      <c r="I9" s="17"/>
      <c r="J9" s="14" t="s">
        <v>17</v>
      </c>
      <c r="K9" s="19" t="s">
        <v>11</v>
      </c>
      <c r="L9" s="19" t="s">
        <v>10</v>
      </c>
    </row>
    <row r="10" spans="1:12" x14ac:dyDescent="0.3">
      <c r="A10" s="4" t="s">
        <v>27</v>
      </c>
      <c r="B10" s="5" t="s">
        <v>28</v>
      </c>
      <c r="C10" s="8" t="s">
        <v>29</v>
      </c>
      <c r="D10" s="48">
        <v>86</v>
      </c>
      <c r="E10" s="46">
        <v>1000</v>
      </c>
      <c r="F10" s="4" t="s">
        <v>4</v>
      </c>
      <c r="G10" s="62">
        <v>1.1342498071775329</v>
      </c>
      <c r="H10" s="49">
        <v>69.27</v>
      </c>
      <c r="I10" s="4"/>
      <c r="J10" s="9">
        <f>D10*E10*G10*H10</f>
        <v>6756975.6363141416</v>
      </c>
      <c r="K10" s="54">
        <v>0.58673578322800102</v>
      </c>
      <c r="L10" s="20">
        <f t="shared" ref="L10:L15" si="0">J10/$B$6</f>
        <v>0.57262150949483803</v>
      </c>
    </row>
    <row r="11" spans="1:12" x14ac:dyDescent="0.3">
      <c r="A11" s="4" t="s">
        <v>35</v>
      </c>
      <c r="B11" s="5" t="s">
        <v>36</v>
      </c>
      <c r="C11" s="8" t="s">
        <v>37</v>
      </c>
      <c r="D11" s="48">
        <v>8</v>
      </c>
      <c r="E11" s="46">
        <v>1000</v>
      </c>
      <c r="F11" s="4" t="s">
        <v>4</v>
      </c>
      <c r="G11" s="62">
        <v>1.1342498071775329</v>
      </c>
      <c r="H11" s="49">
        <v>71.05</v>
      </c>
      <c r="I11" s="4"/>
      <c r="J11" s="9">
        <f t="shared" ref="J11:J12" si="1">D11*E11*G11*H11</f>
        <v>644707.59039970965</v>
      </c>
      <c r="K11" s="54">
        <v>5.3149480176747602E-2</v>
      </c>
      <c r="L11" s="20">
        <f t="shared" si="0"/>
        <v>5.4635898287601591E-2</v>
      </c>
    </row>
    <row r="12" spans="1:12" x14ac:dyDescent="0.3">
      <c r="A12" s="4" t="s">
        <v>38</v>
      </c>
      <c r="B12" s="5" t="s">
        <v>39</v>
      </c>
      <c r="C12" s="8" t="s">
        <v>40</v>
      </c>
      <c r="D12" s="48">
        <v>12</v>
      </c>
      <c r="E12" s="46">
        <v>1000</v>
      </c>
      <c r="F12" s="4" t="s">
        <v>22</v>
      </c>
      <c r="G12" s="62">
        <v>1.3371486641884844</v>
      </c>
      <c r="H12" s="49">
        <v>50.75</v>
      </c>
      <c r="I12" s="4"/>
      <c r="J12" s="9">
        <f t="shared" si="1"/>
        <v>814323.53649078705</v>
      </c>
      <c r="K12" s="54">
        <v>6.9945681386975503E-2</v>
      </c>
      <c r="L12" s="20">
        <f t="shared" si="0"/>
        <v>6.9010042033670935E-2</v>
      </c>
    </row>
    <row r="13" spans="1:12" x14ac:dyDescent="0.3">
      <c r="A13" s="4" t="s">
        <v>30</v>
      </c>
      <c r="B13" s="5" t="s">
        <v>31</v>
      </c>
      <c r="C13" s="8" t="s">
        <v>32</v>
      </c>
      <c r="D13" s="48">
        <v>63</v>
      </c>
      <c r="E13" s="46">
        <v>1000</v>
      </c>
      <c r="F13" s="4" t="s">
        <v>5</v>
      </c>
      <c r="G13" s="47"/>
      <c r="H13" s="49">
        <v>27.93</v>
      </c>
      <c r="I13" s="4"/>
      <c r="J13" s="9">
        <f>D13*E13*H13</f>
        <v>1759590</v>
      </c>
      <c r="K13" s="54">
        <v>0.15555855142354599</v>
      </c>
      <c r="L13" s="20">
        <f t="shared" si="0"/>
        <v>0.14911687360199596</v>
      </c>
    </row>
    <row r="14" spans="1:12" x14ac:dyDescent="0.3">
      <c r="A14" s="4" t="s">
        <v>41</v>
      </c>
      <c r="B14" s="5" t="s">
        <v>42</v>
      </c>
      <c r="C14" s="8" t="s">
        <v>43</v>
      </c>
      <c r="D14" s="48">
        <v>16</v>
      </c>
      <c r="E14" s="46">
        <v>1000</v>
      </c>
      <c r="F14" s="4" t="s">
        <v>5</v>
      </c>
      <c r="G14" s="47"/>
      <c r="H14" s="49">
        <v>29.69</v>
      </c>
      <c r="I14" s="4"/>
      <c r="J14" s="9">
        <f>D14*E14*H14</f>
        <v>475040</v>
      </c>
      <c r="K14" s="54">
        <v>3.9028642133168999E-2</v>
      </c>
      <c r="L14" s="20">
        <f t="shared" ref="L14" si="2">J14/$B$6</f>
        <v>4.0257377932297951E-2</v>
      </c>
    </row>
    <row r="15" spans="1:12" x14ac:dyDescent="0.3">
      <c r="A15" s="4" t="s">
        <v>44</v>
      </c>
      <c r="B15" s="5" t="s">
        <v>45</v>
      </c>
      <c r="C15" s="8" t="s">
        <v>46</v>
      </c>
      <c r="D15" s="48">
        <v>24</v>
      </c>
      <c r="E15" s="46">
        <v>1000</v>
      </c>
      <c r="F15" s="4" t="s">
        <v>5</v>
      </c>
      <c r="G15" s="4"/>
      <c r="H15" s="49">
        <v>21.38</v>
      </c>
      <c r="I15" s="4"/>
      <c r="J15" s="9">
        <f>D15*E15*H15</f>
        <v>513120</v>
      </c>
      <c r="K15" s="54">
        <v>4.5576999983429199E-2</v>
      </c>
      <c r="L15" s="20">
        <f t="shared" si="0"/>
        <v>4.3484476601171954E-2</v>
      </c>
    </row>
    <row r="16" spans="1:12" ht="15" thickBot="1" x14ac:dyDescent="0.35">
      <c r="A16" s="11" t="s">
        <v>47</v>
      </c>
      <c r="B16" s="12" t="s">
        <v>48</v>
      </c>
      <c r="C16" s="12" t="s">
        <v>49</v>
      </c>
      <c r="D16" s="50">
        <v>10</v>
      </c>
      <c r="E16" s="51">
        <v>1000</v>
      </c>
      <c r="F16" s="11" t="s">
        <v>5</v>
      </c>
      <c r="G16" s="11"/>
      <c r="H16" s="52">
        <v>59.36</v>
      </c>
      <c r="I16" s="11"/>
      <c r="J16" s="13">
        <f>D16*E16*H16</f>
        <v>593600</v>
      </c>
      <c r="K16" s="55">
        <v>5.0004861668130597E-2</v>
      </c>
      <c r="L16" s="20">
        <f>J16/$B$6</f>
        <v>5.0304773367741799E-2</v>
      </c>
    </row>
    <row r="17" spans="1:13" ht="15" thickBot="1" x14ac:dyDescent="0.35">
      <c r="J17" s="33">
        <f>SUM(J10:J16)</f>
        <v>11557356.763204638</v>
      </c>
      <c r="K17" s="34">
        <f>SUM(K10:K16)</f>
        <v>0.999999999999999</v>
      </c>
      <c r="L17" s="35">
        <f>SUM(L10:L16)</f>
        <v>0.97943095131931823</v>
      </c>
    </row>
    <row r="18" spans="1:13" x14ac:dyDescent="0.3">
      <c r="J18" s="18"/>
      <c r="K18" s="18"/>
    </row>
    <row r="19" spans="1:13" x14ac:dyDescent="0.3">
      <c r="J19" s="18"/>
      <c r="K19" s="18"/>
      <c r="L19" s="18"/>
    </row>
    <row r="20" spans="1:13" ht="15" thickBot="1" x14ac:dyDescent="0.35">
      <c r="A20" s="2" t="s">
        <v>12</v>
      </c>
    </row>
    <row r="21" spans="1:13" ht="29.4" thickBot="1" x14ac:dyDescent="0.35">
      <c r="A21" s="15"/>
      <c r="B21" s="16" t="s">
        <v>7</v>
      </c>
      <c r="C21" s="16" t="s">
        <v>0</v>
      </c>
      <c r="D21" s="10" t="s">
        <v>18</v>
      </c>
      <c r="E21" s="10" t="s">
        <v>9</v>
      </c>
      <c r="F21" s="10" t="s">
        <v>3</v>
      </c>
      <c r="G21" s="10"/>
      <c r="H21" s="10" t="s">
        <v>6</v>
      </c>
      <c r="I21" s="17"/>
      <c r="J21" s="14" t="s">
        <v>17</v>
      </c>
      <c r="K21" s="19" t="s">
        <v>11</v>
      </c>
      <c r="L21" s="19" t="s">
        <v>10</v>
      </c>
    </row>
    <row r="22" spans="1:13" x14ac:dyDescent="0.3">
      <c r="A22" s="4" t="s">
        <v>8</v>
      </c>
      <c r="B22" s="5" t="s">
        <v>54</v>
      </c>
      <c r="C22" s="5" t="s">
        <v>55</v>
      </c>
      <c r="D22" s="48">
        <v>48</v>
      </c>
      <c r="E22" s="46">
        <v>125000</v>
      </c>
      <c r="F22" s="4" t="s">
        <v>5</v>
      </c>
      <c r="G22" s="22"/>
      <c r="H22" s="53">
        <v>1.14005</v>
      </c>
      <c r="I22" s="22"/>
      <c r="J22" s="6">
        <f>D22*E22*H22</f>
        <v>6840300</v>
      </c>
      <c r="K22" s="26">
        <f>SUM(K10:K11)</f>
        <v>0.63988526340474861</v>
      </c>
      <c r="L22" s="24">
        <f>SUM(J22:J24)/$B$6</f>
        <v>0.62175480115529425</v>
      </c>
      <c r="M22" s="18"/>
    </row>
    <row r="23" spans="1:13" x14ac:dyDescent="0.3">
      <c r="A23" s="4" t="s">
        <v>50</v>
      </c>
      <c r="B23" s="5"/>
      <c r="C23" s="5"/>
      <c r="D23" s="49"/>
      <c r="E23" s="60">
        <v>1</v>
      </c>
      <c r="F23" s="4" t="s">
        <v>4</v>
      </c>
      <c r="G23" s="66">
        <v>1.1342498071775329</v>
      </c>
      <c r="H23" s="4"/>
      <c r="I23" s="4"/>
      <c r="J23" s="6">
        <f>D23*G23</f>
        <v>0</v>
      </c>
      <c r="K23" s="26"/>
      <c r="L23" s="24"/>
    </row>
    <row r="24" spans="1:13" ht="15" thickBot="1" x14ac:dyDescent="0.35">
      <c r="A24" s="64" t="s">
        <v>51</v>
      </c>
      <c r="B24" s="12"/>
      <c r="C24" s="12"/>
      <c r="D24" s="52">
        <v>437692</v>
      </c>
      <c r="E24" s="25">
        <v>1</v>
      </c>
      <c r="F24" s="11" t="s">
        <v>4</v>
      </c>
      <c r="G24" s="61">
        <v>1.1342498071775329</v>
      </c>
      <c r="H24" s="11"/>
      <c r="I24" s="11"/>
      <c r="J24" s="13">
        <f>D24*G24</f>
        <v>496452.06660314871</v>
      </c>
      <c r="K24" s="27"/>
      <c r="L24" s="28"/>
    </row>
    <row r="25" spans="1:13" x14ac:dyDescent="0.3">
      <c r="A25" s="7" t="s">
        <v>52</v>
      </c>
      <c r="B25" s="7"/>
      <c r="C25" s="7"/>
      <c r="D25" s="67"/>
      <c r="E25" s="23">
        <v>1</v>
      </c>
      <c r="F25" s="7" t="s">
        <v>22</v>
      </c>
      <c r="G25" s="68">
        <v>1.3371486641884844</v>
      </c>
      <c r="H25" s="7"/>
      <c r="I25" s="7"/>
      <c r="J25" s="9">
        <f>D25*G25</f>
        <v>0</v>
      </c>
      <c r="K25" s="69">
        <f>K12</f>
        <v>6.9945681386975503E-2</v>
      </c>
      <c r="L25" s="69">
        <f>(SUM(J25:J26))/B6</f>
        <v>6.119434315165722E-2</v>
      </c>
    </row>
    <row r="26" spans="1:13" ht="15" thickBot="1" x14ac:dyDescent="0.35">
      <c r="A26" s="64" t="s">
        <v>53</v>
      </c>
      <c r="B26" s="11"/>
      <c r="C26" s="11"/>
      <c r="D26" s="52">
        <v>540028</v>
      </c>
      <c r="E26" s="25">
        <v>1</v>
      </c>
      <c r="F26" s="11" t="s">
        <v>22</v>
      </c>
      <c r="G26" s="61">
        <v>1.3371486641884844</v>
      </c>
      <c r="H26" s="11"/>
      <c r="I26" s="11"/>
      <c r="J26" s="13">
        <f>D26*G26</f>
        <v>722097.71882437891</v>
      </c>
      <c r="K26" s="27"/>
      <c r="L26" s="27"/>
    </row>
    <row r="27" spans="1:13" x14ac:dyDescent="0.3">
      <c r="A27" s="7" t="s">
        <v>8</v>
      </c>
      <c r="B27" s="8" t="s">
        <v>54</v>
      </c>
      <c r="C27" s="8" t="s">
        <v>55</v>
      </c>
      <c r="D27" s="46">
        <v>-48</v>
      </c>
      <c r="E27" s="23">
        <v>-125000</v>
      </c>
      <c r="F27" s="7" t="s">
        <v>5</v>
      </c>
      <c r="G27" s="7"/>
      <c r="H27" s="7"/>
      <c r="I27" s="7"/>
      <c r="J27" s="9">
        <f>-J22</f>
        <v>-6840300</v>
      </c>
      <c r="K27" s="65">
        <f>SUM(K13:K16)</f>
        <v>0.2901690552082748</v>
      </c>
      <c r="L27" s="20">
        <f>SUM(J27:J31)/$B$6</f>
        <v>0.31860267405365766</v>
      </c>
    </row>
    <row r="28" spans="1:13" x14ac:dyDescent="0.3">
      <c r="A28" s="5" t="s">
        <v>13</v>
      </c>
      <c r="B28" s="5"/>
      <c r="C28" s="5"/>
      <c r="D28" s="49">
        <v>1919754.78</v>
      </c>
      <c r="E28" s="23">
        <v>1</v>
      </c>
      <c r="F28" s="7" t="s">
        <v>5</v>
      </c>
      <c r="G28" s="7"/>
      <c r="H28" s="4"/>
      <c r="I28" s="4"/>
      <c r="J28" s="6">
        <f>D28</f>
        <v>1919754.78</v>
      </c>
      <c r="K28" s="4"/>
      <c r="L28" s="4"/>
    </row>
    <row r="29" spans="1:13" x14ac:dyDescent="0.3">
      <c r="A29" s="5" t="s">
        <v>14</v>
      </c>
      <c r="B29" s="5"/>
      <c r="C29" s="5"/>
      <c r="D29" s="49">
        <v>9312130.1600000001</v>
      </c>
      <c r="E29" s="23">
        <v>1</v>
      </c>
      <c r="F29" s="7" t="s">
        <v>5</v>
      </c>
      <c r="G29" s="7"/>
      <c r="H29" s="4"/>
      <c r="I29" s="4"/>
      <c r="J29" s="6">
        <f>D29-J26-J24</f>
        <v>8093580.3745724726</v>
      </c>
      <c r="K29" s="4"/>
      <c r="L29" s="4"/>
    </row>
    <row r="30" spans="1:13" x14ac:dyDescent="0.3">
      <c r="A30" s="38"/>
      <c r="B30" s="38"/>
      <c r="C30" s="38"/>
      <c r="D30" s="58"/>
      <c r="E30" s="60"/>
      <c r="F30" s="4"/>
      <c r="G30" s="4"/>
      <c r="H30" s="22"/>
      <c r="I30" s="22"/>
      <c r="J30" s="59"/>
      <c r="K30" s="22"/>
      <c r="L30" s="22"/>
    </row>
    <row r="31" spans="1:13" ht="15" thickBot="1" x14ac:dyDescent="0.35">
      <c r="A31" s="12" t="s">
        <v>23</v>
      </c>
      <c r="B31" s="12"/>
      <c r="C31" s="12"/>
      <c r="D31" s="30">
        <v>586499.67000000004</v>
      </c>
      <c r="E31" s="25">
        <v>1</v>
      </c>
      <c r="F31" s="11" t="s">
        <v>5</v>
      </c>
      <c r="G31" s="11"/>
      <c r="H31" s="11"/>
      <c r="I31" s="11"/>
      <c r="J31" s="13">
        <f>D31</f>
        <v>586499.67000000004</v>
      </c>
      <c r="K31" s="11"/>
      <c r="L31" s="11"/>
    </row>
    <row r="32" spans="1:13" ht="15" thickBot="1" x14ac:dyDescent="0.35">
      <c r="A32" s="1"/>
      <c r="B32" s="1"/>
      <c r="C32" s="1"/>
      <c r="D32" s="36"/>
      <c r="E32" s="1"/>
      <c r="J32" s="33">
        <f>SUM(J22:J31)</f>
        <v>11818384.610000001</v>
      </c>
      <c r="K32" s="42">
        <f>SUM(K22:K31)</f>
        <v>0.99999999999999889</v>
      </c>
      <c r="L32" s="42">
        <f>SUM(L22:L31)</f>
        <v>1.0015518183606091</v>
      </c>
    </row>
    <row r="33" spans="1:12" x14ac:dyDescent="0.3">
      <c r="A33" s="1"/>
      <c r="B33" s="36"/>
      <c r="C33" s="1"/>
      <c r="D33" s="1"/>
      <c r="E33" s="1"/>
    </row>
    <row r="34" spans="1:12" x14ac:dyDescent="0.3">
      <c r="A34" s="1"/>
      <c r="B34" s="1"/>
      <c r="C34" s="1"/>
      <c r="D34" s="1"/>
      <c r="E34" s="1"/>
    </row>
    <row r="35" spans="1:12" ht="15" thickBot="1" x14ac:dyDescent="0.35">
      <c r="A35" s="2" t="s">
        <v>16</v>
      </c>
    </row>
    <row r="36" spans="1:12" ht="29.4" thickBot="1" x14ac:dyDescent="0.35">
      <c r="A36" s="15"/>
      <c r="B36" s="16" t="s">
        <v>7</v>
      </c>
      <c r="C36" s="16" t="s">
        <v>0</v>
      </c>
      <c r="D36" s="10" t="s">
        <v>18</v>
      </c>
      <c r="E36" s="10" t="s">
        <v>9</v>
      </c>
      <c r="F36" s="10" t="s">
        <v>3</v>
      </c>
      <c r="G36" s="10"/>
      <c r="H36" s="10" t="s">
        <v>6</v>
      </c>
      <c r="I36" s="17"/>
      <c r="J36" s="14" t="s">
        <v>17</v>
      </c>
      <c r="K36" s="19" t="s">
        <v>11</v>
      </c>
      <c r="L36" s="19" t="s">
        <v>10</v>
      </c>
    </row>
    <row r="37" spans="1:12" x14ac:dyDescent="0.3">
      <c r="A37" s="22" t="s">
        <v>8</v>
      </c>
      <c r="B37" s="38" t="s">
        <v>54</v>
      </c>
      <c r="C37" s="38" t="s">
        <v>55</v>
      </c>
      <c r="D37" s="23">
        <v>48</v>
      </c>
      <c r="E37" s="23">
        <v>125000</v>
      </c>
      <c r="F37" s="4" t="s">
        <v>5</v>
      </c>
      <c r="G37" s="22"/>
      <c r="H37" s="31">
        <v>1.14005</v>
      </c>
      <c r="I37" s="22"/>
      <c r="J37" s="6">
        <f>J22</f>
        <v>6840300</v>
      </c>
      <c r="K37" s="26">
        <f>SUM(K10:K11)</f>
        <v>0.63988526340474861</v>
      </c>
      <c r="L37" s="24">
        <f>SUM(J37:J39)/$B$6</f>
        <v>0.62175480115529425</v>
      </c>
    </row>
    <row r="38" spans="1:12" x14ac:dyDescent="0.3">
      <c r="A38" s="4" t="s">
        <v>50</v>
      </c>
      <c r="B38" s="4"/>
      <c r="C38" s="4"/>
      <c r="D38" s="72">
        <v>0</v>
      </c>
      <c r="E38" s="60"/>
      <c r="F38" s="4" t="s">
        <v>4</v>
      </c>
      <c r="G38" s="4"/>
      <c r="H38" s="4"/>
      <c r="I38" s="4"/>
      <c r="J38" s="72">
        <f>J23</f>
        <v>0</v>
      </c>
      <c r="K38" s="26"/>
      <c r="L38" s="24"/>
    </row>
    <row r="39" spans="1:12" ht="15" thickBot="1" x14ac:dyDescent="0.35">
      <c r="A39" s="11" t="s">
        <v>51</v>
      </c>
      <c r="B39" s="11"/>
      <c r="C39" s="11"/>
      <c r="D39" s="29">
        <v>437692</v>
      </c>
      <c r="E39" s="25"/>
      <c r="F39" s="11" t="s">
        <v>4</v>
      </c>
      <c r="G39" s="11"/>
      <c r="H39" s="11"/>
      <c r="I39" s="11"/>
      <c r="J39" s="29">
        <f>J24</f>
        <v>496452.06660314871</v>
      </c>
      <c r="K39" s="27"/>
      <c r="L39" s="28"/>
    </row>
    <row r="40" spans="1:12" x14ac:dyDescent="0.3">
      <c r="A40" s="7" t="s">
        <v>52</v>
      </c>
      <c r="B40" s="7"/>
      <c r="C40" s="7"/>
      <c r="D40" s="73">
        <v>0</v>
      </c>
      <c r="E40" s="23"/>
      <c r="F40" s="7" t="s">
        <v>22</v>
      </c>
      <c r="G40" s="7"/>
      <c r="H40" s="7"/>
      <c r="I40" s="7"/>
      <c r="J40" s="73">
        <f>J25</f>
        <v>0</v>
      </c>
      <c r="K40" s="69">
        <f>K12</f>
        <v>6.9945681386975503E-2</v>
      </c>
      <c r="L40" s="69">
        <f>(SUM(J40:J41))/$B$6</f>
        <v>6.119434315165722E-2</v>
      </c>
    </row>
    <row r="41" spans="1:12" ht="15" thickBot="1" x14ac:dyDescent="0.35">
      <c r="A41" s="11" t="s">
        <v>53</v>
      </c>
      <c r="B41" s="11"/>
      <c r="C41" s="11"/>
      <c r="D41" s="29">
        <v>540028</v>
      </c>
      <c r="E41" s="25"/>
      <c r="F41" s="11" t="s">
        <v>22</v>
      </c>
      <c r="G41" s="11"/>
      <c r="H41" s="11"/>
      <c r="I41" s="11"/>
      <c r="J41" s="29">
        <f>J26</f>
        <v>722097.71882437891</v>
      </c>
      <c r="K41" s="27"/>
      <c r="L41" s="27"/>
    </row>
    <row r="42" spans="1:12" ht="15" thickBot="1" x14ac:dyDescent="0.35">
      <c r="A42" s="63" t="s">
        <v>24</v>
      </c>
      <c r="B42" s="63"/>
      <c r="C42" s="63"/>
      <c r="D42" s="70"/>
      <c r="E42" s="40"/>
      <c r="F42" s="39" t="s">
        <v>5</v>
      </c>
      <c r="G42" s="39"/>
      <c r="H42" s="39"/>
      <c r="I42" s="39"/>
      <c r="J42" s="41">
        <f>SUM(J27,J28,J29,J31)</f>
        <v>3759534.8245724728</v>
      </c>
      <c r="K42" s="71">
        <f>K27</f>
        <v>0.2901690552082748</v>
      </c>
      <c r="L42" s="71">
        <f>L27</f>
        <v>0.31860267405365766</v>
      </c>
    </row>
    <row r="43" spans="1:12" ht="15" thickBot="1" x14ac:dyDescent="0.35">
      <c r="A43" s="1"/>
      <c r="B43" s="1"/>
      <c r="C43" s="1"/>
      <c r="D43" s="1"/>
      <c r="E43" s="1"/>
      <c r="J43" s="33">
        <f>SUM(J37:J42)</f>
        <v>11818384.609999999</v>
      </c>
      <c r="K43" s="42">
        <f>SUM(K37:K42)</f>
        <v>0.99999999999999889</v>
      </c>
      <c r="L43" s="42">
        <f>SUM(L37:L42)</f>
        <v>1.0015518183606091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39081A-B047-4B46-B7CD-DE34ED33B0D2}">
  <dimension ref="A1:A6"/>
  <sheetViews>
    <sheetView topLeftCell="A13" workbookViewId="0">
      <selection activeCell="A17" sqref="A17"/>
    </sheetView>
  </sheetViews>
  <sheetFormatPr defaultRowHeight="14.4" x14ac:dyDescent="0.3"/>
  <sheetData>
    <row r="1" spans="1:1" x14ac:dyDescent="0.3">
      <c r="A1">
        <v>0.53150512768211999</v>
      </c>
    </row>
    <row r="2" spans="1:1" x14ac:dyDescent="0.3">
      <c r="A2">
        <v>4.8348461509626003E-2</v>
      </c>
    </row>
    <row r="3" spans="1:1" x14ac:dyDescent="0.3">
      <c r="A3">
        <v>4.2458965153239901E-2</v>
      </c>
    </row>
    <row r="4" spans="1:1" x14ac:dyDescent="0.3">
      <c r="A4">
        <v>0.25831111340204599</v>
      </c>
    </row>
    <row r="5" spans="1:1" x14ac:dyDescent="0.3">
      <c r="A5">
        <v>5.16466174012679E-2</v>
      </c>
    </row>
    <row r="6" spans="1:1" x14ac:dyDescent="0.3">
      <c r="A6">
        <v>6.7729714851698694E-2</v>
      </c>
    </row>
  </sheetData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EEF9C9F0250EE4C8F37A2756066D065" ma:contentTypeVersion="11" ma:contentTypeDescription="Create a new document." ma:contentTypeScope="" ma:versionID="187069909e64610099845b927fd3aee0">
  <xsd:schema xmlns:xsd="http://www.w3.org/2001/XMLSchema" xmlns:xs="http://www.w3.org/2001/XMLSchema" xmlns:p="http://schemas.microsoft.com/office/2006/metadata/properties" xmlns:ns3="49672fa6-f88e-47a6-9270-5b4473c7063c" xmlns:ns4="0b96b2b9-7222-49fb-927f-5604ca29dbf1" targetNamespace="http://schemas.microsoft.com/office/2006/metadata/properties" ma:root="true" ma:fieldsID="974c41ec2c6d5e9431af937cc20970d5" ns3:_="" ns4:_="">
    <xsd:import namespace="49672fa6-f88e-47a6-9270-5b4473c7063c"/>
    <xsd:import namespace="0b96b2b9-7222-49fb-927f-5604ca29dbf1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4:SharedWithUsers" minOccurs="0"/>
                <xsd:element ref="ns4:SharedWithDetails" minOccurs="0"/>
                <xsd:element ref="ns4:SharingHintHash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672fa6-f88e-47a6-9270-5b4473c7063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96b2b9-7222-49fb-927f-5604ca29dbf1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8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BC8FDCC3-74DF-4990-BF04-1B7CDC93F0FC}">
  <ds:schemaRefs>
    <ds:schemaRef ds:uri="http://schemas.microsoft.com/office/2006/metadata/properties"/>
    <ds:schemaRef ds:uri="http://purl.org/dc/terms/"/>
    <ds:schemaRef ds:uri="http://purl.org/dc/elements/1.1/"/>
    <ds:schemaRef ds:uri="0b96b2b9-7222-49fb-927f-5604ca29dbf1"/>
    <ds:schemaRef ds:uri="http://www.w3.org/XML/1998/namespace"/>
    <ds:schemaRef ds:uri="http://purl.org/dc/dcmitype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49672fa6-f88e-47a6-9270-5b4473c7063c"/>
  </ds:schemaRefs>
</ds:datastoreItem>
</file>

<file path=customXml/itemProps2.xml><?xml version="1.0" encoding="utf-8"?>
<ds:datastoreItem xmlns:ds="http://schemas.openxmlformats.org/officeDocument/2006/customXml" ds:itemID="{2B6884E0-9295-493F-8D62-5CCC974A91F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D3436761-04B0-4007-9740-8B5968A0731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672fa6-f88e-47a6-9270-5b4473c7063c"/>
    <ds:schemaRef ds:uri="0b96b2b9-7222-49fb-927f-5604ca29dbf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Casey</dc:creator>
  <cp:lastModifiedBy>Jeffrey Casey</cp:lastModifiedBy>
  <cp:lastPrinted>2023-10-26T11:58:35Z</cp:lastPrinted>
  <dcterms:created xsi:type="dcterms:W3CDTF">2020-10-26T15:50:05Z</dcterms:created>
  <dcterms:modified xsi:type="dcterms:W3CDTF">2025-05-07T12:26:13Z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0x010100AEEF9C9F0250EE4C8F37A2756066D065</vt:lpwstr>
  </property>
</Properties>
</file>