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6A157FBB-0307-4967-B03D-147A37AC4904}" xr6:coauthVersionLast="47" xr6:coauthVersionMax="47" xr10:uidLastSave="{00E4593C-CDF9-4BC3-9FFC-382A7F6F0712}"/>
  <bookViews>
    <workbookView xWindow="29745" yWindow="6510" windowWidth="22095" windowHeight="991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8" i="1" l="1"/>
  <c r="K35" i="1"/>
  <c r="J29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<sst xmlns="http://schemas.openxmlformats.org/spreadsheetml/2006/main" count="95" uniqueCount="50">
  <si>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</si>
  <si>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</si>
  <si>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</si>
  <si>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</si>
  <si>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</si>
  <si>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</si>
  <si>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</si>
  <si>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</si>
  <si>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</si>
  <si>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</si>
  <si>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</si>
  <si>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</si>
  <si>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</si>
  <si>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</si>
  <si>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</si>
  <si>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</si>
  <si>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</si>
  <si>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</si>
  <si>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</si>
  <si>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</si>
  <si>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</si>
  <si>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</si>
  <si>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</si>
  <si>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</si>
  <si>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</si>
  <si>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</si>
  <si>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</si>
  <si>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</si>
  <si>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</si>
  <si>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</si>
  <si>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</si>
  <si>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</si>
  <si>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</si>
  <si>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</si>
  <si>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</si>
  <si>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</si>
  <si>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</si>
  <si>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</si>
  <si>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</si>
  <si>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ECZ5 Curncy</t>
  </si>
  <si>
    <t>EURO FX CURR FUT  Dec25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</si>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</sst>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45996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10035719.540000001</v>
      </c>
      <c r="J6" t="s">
        <v>25</v>
      </c>
    </row>
    <row r="7" spans="1:12" x14ac:dyDescent="0.3">
      <c r="J7" s="57">
        <f>(D26+D27)/B6</f>
        <v>0.97971732478287232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60</v>
      </c>
      <c r="E10" s="46">
        <v>1000</v>
      </c>
      <c r="F10" s="4" t="s">
        <v>4</v>
      </c>
      <c r="G10" s="62">
        <v>1.164795228998742</v>
      </c>
      <c r="H10" s="49">
        <v>84.2</v>
      </c>
      <c r="I10" s="4"/>
      <c r="J10" s="9">
        <f>D10*E10*G10*H10</f>
        <v>5884545.4969016453</v>
      </c>
      <c r="K10" s="54">
        <v>0.59496849714801103</v>
      </c>
      <c r="L10" s="20">
        <f t="shared" ref="L10:L13" si="0">J10/$B$6</f>
        <v>0.58636009839127534</v>
      </c>
    </row>
    <row r="11" spans="1:12" x14ac:dyDescent="0.3">
      <c r="A11" s="4" t="s">
        <v>41</v>
      </c>
      <c r="B11" s="5" t="s">
        <v>42</v>
      </c>
      <c r="C11" s="8" t="s">
        <v>43</v>
      </c>
      <c r="D11" s="48">
        <v>6</v>
      </c>
      <c r="E11" s="46">
        <v>1000</v>
      </c>
      <c r="F11" s="4" t="s">
        <v>22</v>
      </c>
      <c r="G11" s="62">
        <v>1.3342584191706248</v>
      </c>
      <c r="H11" s="49">
        <v>58.67</v>
      </c>
      <c r="I11" s="4"/>
      <c r="J11" s="9">
        <f t="shared" ref="J11" si="1">D11*E11*G11*H11</f>
        <v>469685.64871644333</v>
      </c>
      <c r="K11" s="54">
        <v>4.8636891955835503E-2</v>
      </c>
      <c r="L11" s="20">
        <f t="shared" si="0"/>
        <v>4.6801392450674571E-2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78</v>
      </c>
      <c r="E12" s="46">
        <v>1000</v>
      </c>
      <c r="F12" s="4" t="s">
        <v>5</v>
      </c>
      <c r="G12" s="47"/>
      <c r="H12" s="49">
        <v>31.51</v>
      </c>
      <c r="I12" s="4"/>
      <c r="J12" s="9">
        <f>D12*E12*H12</f>
        <v>2457780</v>
      </c>
      <c r="K12" s="54">
        <v>0.25434966505331602</v>
      </c>
      <c r="L12" s="20">
        <f t="shared" si="0"/>
        <v>0.244903216974515</v>
      </c>
    </row>
    <row r="13" spans="1:12" x14ac:dyDescent="0.3">
      <c r="A13" s="4" t="s">
        <v>44</v>
      </c>
      <c r="B13" s="5" t="s">
        <v>45</v>
      </c>
      <c r="C13" s="8" t="s">
        <v>46</v>
      </c>
      <c r="D13" s="48">
        <v>18</v>
      </c>
      <c r="E13" s="46">
        <v>1000</v>
      </c>
      <c r="F13" s="4" t="s">
        <v>5</v>
      </c>
      <c r="G13" s="4"/>
      <c r="H13" s="49">
        <v>27.99</v>
      </c>
      <c r="I13" s="4"/>
      <c r="J13" s="9">
        <f>D13*E13*H13</f>
        <v>503820</v>
      </c>
      <c r="K13" s="54">
        <v>4.82318082494404E-2</v>
      </c>
      <c r="L13" s="20">
        <f t="shared" si="0"/>
        <v>5.0202678342284555E-2</v>
      </c>
    </row>
    <row r="14" spans="1:12" ht="15" thickBot="1" x14ac:dyDescent="0.35">
      <c r="A14" s="11" t="s">
        <v>47</v>
      </c>
      <c r="B14" s="12" t="s">
        <v>48</v>
      </c>
      <c r="C14" s="12" t="s">
        <v>49</v>
      </c>
      <c r="D14" s="50">
        <v>7</v>
      </c>
      <c r="E14" s="51">
        <v>1000</v>
      </c>
      <c r="F14" s="11" t="s">
        <v>5</v>
      </c>
      <c r="G14" s="11"/>
      <c r="H14" s="52">
        <v>73</v>
      </c>
      <c r="I14" s="11"/>
      <c r="J14" s="13">
        <f>D14*E14*H14</f>
        <v>511000</v>
      </c>
      <c r="K14" s="55">
        <v>5.3813137593396898E-2</v>
      </c>
      <c r="L14" s="20">
        <f>J14/$B$6</f>
        <v>5.0918122807565025E-2</v>
      </c>
    </row>
    <row r="15" spans="1:12" ht="15" thickBot="1" x14ac:dyDescent="0.35">
      <c r="J15" s="33">
        <f>SUM(J10:J14)</f>
        <v>9826831.1456180885</v>
      </c>
      <c r="K15" s="34">
        <f>SUM(K10:K14)</f>
        <v>0.99999999999999989</v>
      </c>
      <c r="L15" s="35">
        <f>SUM(L10:L14)</f>
        <v>0.97918550896631451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39</v>
      </c>
      <c r="C20" s="5" t="s">
        <v>40</v>
      </c>
      <c r="D20" s="48">
        <v>30</v>
      </c>
      <c r="E20" s="46">
        <v>125000</v>
      </c>
      <c r="F20" s="4" t="s">
        <v>5</v>
      </c>
      <c r="G20" s="22"/>
      <c r="H20" s="53">
        <v>1.1648000000000001</v>
      </c>
      <c r="I20" s="22"/>
      <c r="J20" s="6">
        <f>D20*E20*H20</f>
        <v>4368000</v>
      </c>
      <c r="K20" s="26">
        <f>SUM(K10:K10)</f>
        <v>0.59496849714801103</v>
      </c>
      <c r="L20" s="24">
        <f>SUM(J20:J22)/$B$6</f>
        <v>0.58913420840736508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1.164795228998742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1325886</v>
      </c>
      <c r="E22" s="25">
        <v>1</v>
      </c>
      <c r="F22" s="11" t="s">
        <v>4</v>
      </c>
      <c r="G22" s="61">
        <v>1.164795228998742</v>
      </c>
      <c r="H22" s="11"/>
      <c r="I22" s="11"/>
      <c r="J22" s="13">
        <f>D22*G22</f>
        <v>1544385.686996226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1.3342584191706248</v>
      </c>
      <c r="H23" s="7"/>
      <c r="I23" s="7"/>
      <c r="J23" s="9">
        <f>D23*G23</f>
        <v>0</v>
      </c>
      <c r="K23" s="69">
        <f>K11</f>
        <v>4.8636891955835503E-2</v>
      </c>
      <c r="L23" s="69">
        <f>(SUM(J23:J24))/B6</f>
        <v>4.5695905324297209E-2</v>
      </c>
    </row>
    <row r="24" spans="1:13" ht="15" thickBot="1" x14ac:dyDescent="0.35">
      <c r="A24" s="64" t="s">
        <v>38</v>
      </c>
      <c r="B24" s="11"/>
      <c r="C24" s="11"/>
      <c r="D24" s="52">
        <v>343705</v>
      </c>
      <c r="E24" s="25">
        <v>1</v>
      </c>
      <c r="F24" s="11" t="s">
        <v>22</v>
      </c>
      <c r="G24" s="61">
        <v>1.3342584191706248</v>
      </c>
      <c r="H24" s="11"/>
      <c r="I24" s="11"/>
      <c r="J24" s="13">
        <f>D24*G24</f>
        <v>458591.28996103961</v>
      </c>
      <c r="K24" s="27"/>
      <c r="L24" s="27"/>
    </row>
    <row r="25" spans="1:13" x14ac:dyDescent="0.3">
      <c r="A25" s="7" t="s">
        <v>8</v>
      </c>
      <c r="B25" s="8" t="s">
        <v>39</v>
      </c>
      <c r="C25" s="8" t="s">
        <v>40</v>
      </c>
      <c r="D25" s="46">
        <v>-30</v>
      </c>
      <c r="E25" s="23">
        <v>-125000</v>
      </c>
      <c r="F25" s="7" t="s">
        <v>5</v>
      </c>
      <c r="G25" s="7"/>
      <c r="H25" s="7"/>
      <c r="I25" s="7"/>
      <c r="J25" s="9">
        <f>-J20</f>
        <v>-4368000</v>
      </c>
      <c r="K25" s="65">
        <f>SUM(K12:K14)</f>
        <v>0.35639461089615332</v>
      </c>
      <c r="L25" s="20">
        <f>SUM(J25:J29)/$B$6</f>
        <v>0.36403934650436959</v>
      </c>
    </row>
    <row r="26" spans="1:13" x14ac:dyDescent="0.3">
      <c r="A26" s="5" t="s">
        <v>13</v>
      </c>
      <c r="B26" s="5"/>
      <c r="C26" s="5"/>
      <c r="D26" s="49">
        <v>1292737.44</v>
      </c>
      <c r="E26" s="23">
        <v>1</v>
      </c>
      <c r="F26" s="7" t="s">
        <v>5</v>
      </c>
      <c r="G26" s="7"/>
      <c r="H26" s="4"/>
      <c r="I26" s="4"/>
      <c r="J26" s="6">
        <f>D26</f>
        <v>1292737.44</v>
      </c>
      <c r="K26" s="4"/>
      <c r="L26" s="4"/>
    </row>
    <row r="27" spans="1:13" x14ac:dyDescent="0.3">
      <c r="A27" s="5" t="s">
        <v>14</v>
      </c>
      <c r="B27" s="5"/>
      <c r="C27" s="5"/>
      <c r="D27" s="49">
        <v>8539430.8599999994</v>
      </c>
      <c r="E27" s="23">
        <v>1</v>
      </c>
      <c r="F27" s="7" t="s">
        <v>5</v>
      </c>
      <c r="G27" s="7"/>
      <c r="H27" s="4"/>
      <c r="I27" s="4"/>
      <c r="J27" s="6">
        <f>D27-J24-J22</f>
        <v>6536453.8830427332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192205.46</v>
      </c>
      <c r="E29" s="25">
        <v>1</v>
      </c>
      <c r="F29" s="11" t="s">
        <v>5</v>
      </c>
      <c r="G29" s="11"/>
      <c r="H29" s="11"/>
      <c r="I29" s="11"/>
      <c r="J29" s="13">
        <f>D29</f>
        <v>192205.46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10024373.76</v>
      </c>
      <c r="K30" s="42">
        <f>SUM(K20:K29)</f>
        <v>0.99999999999999989</v>
      </c>
      <c r="L30" s="42">
        <f>SUM(L20:L29)</f>
        <v>0.99886946023603196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39</v>
      </c>
      <c r="C35" s="38" t="s">
        <v>40</v>
      </c>
      <c r="D35" s="23">
        <v>30</v>
      </c>
      <c r="E35" s="23">
        <v>125000</v>
      </c>
      <c r="F35" s="4" t="s">
        <v>5</v>
      </c>
      <c r="G35" s="22"/>
      <c r="H35" s="31">
        <v>1.1648000000000001</v>
      </c>
      <c r="I35" s="22"/>
      <c r="J35" s="6">
        <f>J20</f>
        <v>4368000</v>
      </c>
      <c r="K35" s="26">
        <f>SUM(K10:K10)</f>
        <v>0.59496849714801103</v>
      </c>
      <c r="L35" s="24">
        <f>SUM(J35:J37)/$B$6</f>
        <v>0.58913420840736508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1325886</v>
      </c>
      <c r="E37" s="25"/>
      <c r="F37" s="11" t="s">
        <v>4</v>
      </c>
      <c r="G37" s="11"/>
      <c r="H37" s="11"/>
      <c r="I37" s="11"/>
      <c r="J37" s="29">
        <f>J22</f>
        <v>1544385.686996226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4.8636891955835503E-2</v>
      </c>
      <c r="L38" s="69">
        <f>(SUM(J38:J39))/$B$6</f>
        <v>4.5695905324297209E-2</v>
      </c>
    </row>
    <row r="39" spans="1:12" ht="15" thickBot="1" x14ac:dyDescent="0.35">
      <c r="A39" s="11" t="s">
        <v>38</v>
      </c>
      <c r="B39" s="11"/>
      <c r="C39" s="11"/>
      <c r="D39" s="29">
        <v>343705</v>
      </c>
      <c r="E39" s="25"/>
      <c r="F39" s="11" t="s">
        <v>22</v>
      </c>
      <c r="G39" s="11"/>
      <c r="H39" s="11"/>
      <c r="I39" s="11"/>
      <c r="J39" s="29">
        <f>J24</f>
        <v>458591.28996103961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3653396.7830427331</v>
      </c>
      <c r="K40" s="71">
        <f>K25</f>
        <v>0.35639461089615332</v>
      </c>
      <c r="L40" s="71">
        <f>L25</f>
        <v>0.36403934650436959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10024373.76</v>
      </c>
      <c r="K41" s="42">
        <f>SUM(K35:K40)</f>
        <v>0.99999999999999989</v>
      </c>
      <c r="L41" s="42">
        <f>SUM(L35:L40)</f>
        <v>0.99886946023603196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2025-12-08T13:27:15Z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