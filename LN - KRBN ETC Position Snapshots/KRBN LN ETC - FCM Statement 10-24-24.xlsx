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FDF2CC1C-3E0C-424C-A82E-5474D1185722}" xr6:coauthVersionLast="47" xr6:coauthVersionMax="47" xr10:uidLastSave="{655B0653-54E9-4CE8-8E1F-2DF96F51587A}"/>
  <bookViews>
    <workbookView xWindow="29955" yWindow="4155" windowWidth="2208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<sst xmlns="http://schemas.openxmlformats.org/spreadsheetml/2006/main" count="91" uniqueCount="51">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</sst>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12162630.109999999</v>
      </c>
      <c r="J6" t="s">
        <v>27</v>
      </c>
    </row>
    <row r="7" spans="1:12" x14ac:dyDescent="0.3">
      <c r="J7" s="63">
        <f>(D25+D26)/B6</f>
        <v>0.94914642356084955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1.0797503617163713</v>
      </c>
      <c r="H10" s="54">
        <v>66.63</v>
      </c>
      <c r="I10" s="5"/>
      <c r="J10" s="10">
        <f>D10*E10*G10*H10</f>
        <v>6402995.2275034012</v>
      </c>
      <c r="K10" s="60">
        <v>0.54225017873046699</v>
      </c>
      <c r="L10" s="21">
        <f t="shared" ref="L10:L14" si="0">J10/$B$6</f>
        <v>0.52644824101317689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1.0797503617163713</v>
      </c>
      <c r="H11" s="54">
        <v>68.61</v>
      </c>
      <c r="I11" s="5"/>
      <c r="J11" s="10">
        <f t="shared" ref="J11:J12" si="1">D11*E11*G11*H11</f>
        <v>592653.37853888189</v>
      </c>
      <c r="K11" s="60">
        <v>4.8703121588788797E-2</v>
      </c>
      <c r="L11" s="21">
        <f t="shared" si="0"/>
        <v>4.872740296949489E-2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1.2958571447083673</v>
      </c>
      <c r="H12" s="54">
        <v>40</v>
      </c>
      <c r="I12" s="5"/>
      <c r="J12" s="10">
        <f t="shared" si="1"/>
        <v>518342.85788334697</v>
      </c>
      <c r="K12" s="60">
        <v>4.6163051454422198E-2</v>
      </c>
      <c r="L12" s="21">
        <f t="shared" si="0"/>
        <v>4.2617661903338683E-2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36.67</v>
      </c>
      <c r="I13" s="5"/>
      <c r="J13" s="10">
        <f>D13*E13*H13</f>
        <v>2970270</v>
      </c>
      <c r="K13" s="60">
        <v>0.25926334193245798</v>
      </c>
      <c r="L13" s="21">
        <f t="shared" si="0"/>
        <v>0.24421280373871374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38.82</v>
      </c>
      <c r="I14" s="5"/>
      <c r="J14" s="10">
        <f>D14*E14*H14</f>
        <v>582300</v>
      </c>
      <c r="K14" s="60">
        <v>5.1336925533409003E-2</v>
      </c>
      <c r="L14" s="21">
        <f t="shared" si="0"/>
        <v>4.7876157930778346E-2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20.65</v>
      </c>
      <c r="I15" s="12"/>
      <c r="J15" s="14">
        <f>D15*E15*H15</f>
        <v>619500</v>
      </c>
      <c r="K15" s="61">
        <v>5.2283380760454599E-2</v>
      </c>
      <c r="L15" s="21">
        <f>J15/$B$6</f>
        <v>5.0934706917597779E-2</v>
      </c>
    </row>
    <row r="16" spans="1:12" ht="15" thickBot="1" x14ac:dyDescent="0.35">
      <c r="J16" s="35">
        <f>SUM(J10:J15)</f>
        <v>11686061.46392563</v>
      </c>
      <c r="K16" s="36">
        <f>SUM(K10:K15)</f>
        <v>0.99999999999999944</v>
      </c>
      <c r="L16" s="37">
        <f>SUM(L10:L15)</f>
        <v>0.96081697447310044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0.59095330031925575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1.0797503617163713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1.2958571447083673</v>
      </c>
      <c r="H23" s="41"/>
      <c r="I23" s="41"/>
      <c r="J23" s="43">
        <f>D23*G23</f>
        <v>0</v>
      </c>
      <c r="K23" s="44">
        <f>K12</f>
        <v>4.6163051454422198E-2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0.36288364822632158</v>
      </c>
      <c r="L24" s="25">
        <f>SUM(J24:J28)/$B$6</f>
        <v>1.0005333353017674</v>
      </c>
    </row>
    <row r="25" spans="1:13" x14ac:dyDescent="0.3">
      <c r="A25" s="6" t="s">
        <v>13</v>
      </c>
      <c r="B25" s="6"/>
      <c r="C25" s="6"/>
      <c r="D25" s="54">
        <v>2017222.81</v>
      </c>
      <c r="E25" s="24">
        <v>1</v>
      </c>
      <c r="F25" s="8" t="s">
        <v>5</v>
      </c>
      <c r="G25" s="8"/>
      <c r="H25" s="5"/>
      <c r="I25" s="5"/>
      <c r="J25" s="7">
        <f>D25</f>
        <v>2017222.81</v>
      </c>
      <c r="K25" s="5"/>
      <c r="L25" s="5"/>
    </row>
    <row r="26" spans="1:13" x14ac:dyDescent="0.3">
      <c r="A26" s="6" t="s">
        <v>14</v>
      </c>
      <c r="B26" s="6"/>
      <c r="C26" s="6"/>
      <c r="D26" s="54">
        <v>9526894.0600000005</v>
      </c>
      <c r="E26" s="24">
        <v>1</v>
      </c>
      <c r="F26" s="8" t="s">
        <v>5</v>
      </c>
      <c r="G26" s="8"/>
      <c r="H26" s="5"/>
      <c r="I26" s="5"/>
      <c r="J26" s="7">
        <f>D26</f>
        <v>9526894.0600000005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12169116.870000001</v>
      </c>
      <c r="K29" s="46">
        <f>SUM(K21:K28)</f>
        <v>0.99999999999999956</v>
      </c>
      <c r="L29" s="46">
        <f>SUM(L21:L28)</f>
        <v>1.0005333353017674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0.59095330031925575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4.6163051454422198E-2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12169116.870000001</v>
      </c>
      <c r="K37" s="67">
        <f>K24</f>
        <v>0.36288364822632158</v>
      </c>
      <c r="L37" s="67">
        <f>L24</f>
        <v>1.0005333353017674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12169116.870000001</v>
      </c>
      <c r="K38" s="46">
        <f>SUM(K34:K37)</f>
        <v>0.99999999999999956</v>
      </c>
      <c r="L38" s="46">
        <f>SUM(L34:L37)</f>
        <v>1.0005333353017674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2024-10-25T11:52:23Z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