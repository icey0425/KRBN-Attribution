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1FB43EC2-FCF2-4E27-A682-EE8BE5A00AA8}" xr6:coauthVersionLast="47" xr6:coauthVersionMax="47" xr10:uidLastSave="{00000000-0000-0000-0000-000000000000}"/>
  <bookViews>
    <workbookView xWindow="31035" yWindow="1170" windowWidth="14850" windowHeight="118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<sst xmlns="http://schemas.openxmlformats.org/spreadsheetml/2006/main" count="95" uniqueCount="50">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</sst>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5" x14ac:dyDescent="0.35"/>
  <cols>
    <col min="1" max="1" width="17.7265625" customWidth="1"/>
    <col min="2" max="2" width="21.453125" customWidth="1"/>
    <col min="3" max="3" width="33.54296875" bestFit="1" customWidth="1"/>
    <col min="4" max="4" width="17.26953125" customWidth="1"/>
    <col min="5" max="5" width="10.7265625" customWidth="1"/>
    <col min="6" max="6" width="7.26953125" customWidth="1"/>
    <col min="7" max="7" width="11.26953125" customWidth="1"/>
    <col min="8" max="8" width="12.26953125" customWidth="1"/>
    <col min="9" max="9" width="1.7265625" customWidth="1"/>
    <col min="10" max="10" width="24.453125" customWidth="1"/>
    <col min="11" max="11" width="17.26953125" customWidth="1"/>
    <col min="12" max="12" width="17.54296875" customWidth="1"/>
  </cols>
  <sheetData>
    <row r="1" spans="1:12" ht="22.9" customHeight="1" x14ac:dyDescent="0.55000000000000004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5" customHeight="1" x14ac:dyDescent="0.35">
      <c r="A2" t="s">
        <v>28</v>
      </c>
      <c r="J2" s="43"/>
      <c r="K2" s="44"/>
      <c r="L2" s="45"/>
    </row>
    <row r="3" spans="1:12" x14ac:dyDescent="0.35">
      <c r="A3" t="s">
        <v>15</v>
      </c>
      <c r="B3" s="56">
        <v>46056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 s="74">
        <v>0</v>
      </c>
    </row>
    <row r="6" spans="1:12" x14ac:dyDescent="0.35">
      <c r="A6" s="2" t="s">
        <v>19</v>
      </c>
      <c r="B6" s="37">
        <v>11325180.390000001</v>
      </c>
      <c r="J6" t="s">
        <v>25</v>
      </c>
    </row>
    <row r="7" spans="1:12" x14ac:dyDescent="0.35">
      <c r="J7" s="57">
        <f>(D26+D27)/B6</f>
        <v>0.84745213228343108</v>
      </c>
      <c r="K7" s="18"/>
    </row>
    <row r="8" spans="1:12" ht="15" thickBot="1" x14ac:dyDescent="0.4">
      <c r="A8" s="2" t="s">
        <v>26</v>
      </c>
    </row>
    <row r="9" spans="1:12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5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1.1812930433652675</v>
      </c>
      <c r="H10" s="49">
        <v>83.11</v>
      </c>
      <c r="I10" s="4"/>
      <c r="J10" s="9">
        <f>D10*E10*G10*H10</f>
        <v>6774231.2735520294</v>
      </c>
      <c r="K10" s="54">
        <v>0.60512863481667101</v>
      </c>
      <c r="L10" s="20">
        <f t="shared" ref="L10:L13" si="0">J10/$B$6</f>
        <v>0.59815658914657066</v>
      </c>
    </row>
    <row r="11" spans="1:12" x14ac:dyDescent="0.35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1.3703510839477073</v>
      </c>
      <c r="H11" s="49">
        <v>62.83</v>
      </c>
      <c r="I11" s="4"/>
      <c r="J11" s="9">
        <f t="shared" ref="J11" si="1">D11*E11*G11*H11</f>
        <v>602694.11023104109</v>
      </c>
      <c r="K11" s="54">
        <v>5.4351906087040602E-2</v>
      </c>
      <c r="L11" s="20">
        <f t="shared" si="0"/>
        <v>5.321717530991496E-2</v>
      </c>
    </row>
    <row r="12" spans="1:12" x14ac:dyDescent="0.35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29.69</v>
      </c>
      <c r="I12" s="4"/>
      <c r="J12" s="9">
        <f>D12*E12*H12</f>
        <v>2672100</v>
      </c>
      <c r="K12" s="54">
        <v>0.24349871014444099</v>
      </c>
      <c r="L12" s="20">
        <f t="shared" si="0"/>
        <v>0.23594326165077534</v>
      </c>
    </row>
    <row r="13" spans="1:12" x14ac:dyDescent="0.35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23.78</v>
      </c>
      <c r="I13" s="4"/>
      <c r="J13" s="9">
        <f>D13*E13*H13</f>
        <v>475600</v>
      </c>
      <c r="K13" s="54">
        <v>4.1633813902277397E-2</v>
      </c>
      <c r="L13" s="20">
        <f t="shared" si="0"/>
        <v>4.199491607391518E-2</v>
      </c>
    </row>
    <row r="14" spans="1:12" ht="15" thickBot="1" x14ac:dyDescent="0.4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73.95</v>
      </c>
      <c r="I14" s="11"/>
      <c r="J14" s="13">
        <f>D14*E14*H14</f>
        <v>591600</v>
      </c>
      <c r="K14" s="55">
        <v>5.5386935049569402E-2</v>
      </c>
      <c r="L14" s="20">
        <f>J14/$B$6</f>
        <v>5.2237578530967659E-2</v>
      </c>
    </row>
    <row r="15" spans="1:12" ht="15" thickBot="1" x14ac:dyDescent="0.4">
      <c r="J15" s="33">
        <f>SUM(J10:J14)</f>
        <v>11116225.38378307</v>
      </c>
      <c r="K15" s="34">
        <f>SUM(K10:K14)</f>
        <v>0.99999999999999944</v>
      </c>
      <c r="L15" s="35">
        <f>SUM(L10:L14)</f>
        <v>0.98154952071214374</v>
      </c>
    </row>
    <row r="16" spans="1:12" x14ac:dyDescent="0.35">
      <c r="J16" s="18"/>
      <c r="K16" s="18"/>
    </row>
    <row r="17" spans="1:13" x14ac:dyDescent="0.35">
      <c r="J17" s="18"/>
      <c r="K17" s="18"/>
      <c r="L17" s="18"/>
    </row>
    <row r="18" spans="1:13" ht="15" thickBot="1" x14ac:dyDescent="0.4">
      <c r="A18" s="2" t="s">
        <v>12</v>
      </c>
    </row>
    <row r="19" spans="1:13" ht="29.5" thickBot="1" x14ac:dyDescent="0.4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5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1.1836</v>
      </c>
      <c r="I20" s="22"/>
      <c r="J20" s="6">
        <f>D20*E20*H20</f>
        <v>5326200</v>
      </c>
      <c r="K20" s="26">
        <f>SUM(K10:K10)</f>
        <v>0.60512863481667101</v>
      </c>
      <c r="L20" s="24">
        <f>SUM(J20:J22)/$B$6</f>
        <v>0.59766301845740644</v>
      </c>
      <c r="M20" s="18"/>
    </row>
    <row r="21" spans="1:13" x14ac:dyDescent="0.35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1.1812930433652675</v>
      </c>
      <c r="H21" s="4"/>
      <c r="I21" s="4"/>
      <c r="J21" s="6">
        <f>D21*G21</f>
        <v>0</v>
      </c>
      <c r="K21" s="26"/>
      <c r="L21" s="24"/>
    </row>
    <row r="22" spans="1:13" ht="15" thickBot="1" x14ac:dyDescent="0.4">
      <c r="A22" s="64" t="s">
        <v>36</v>
      </c>
      <c r="B22" s="12"/>
      <c r="C22" s="12"/>
      <c r="D22" s="52">
        <v>1221070</v>
      </c>
      <c r="E22" s="25">
        <v>1</v>
      </c>
      <c r="F22" s="11" t="s">
        <v>4</v>
      </c>
      <c r="G22" s="61">
        <v>1.1812930433652675</v>
      </c>
      <c r="H22" s="11"/>
      <c r="I22" s="11"/>
      <c r="J22" s="13">
        <f>D22*G22</f>
        <v>1442441.4964620273</v>
      </c>
      <c r="K22" s="27"/>
      <c r="L22" s="28"/>
    </row>
    <row r="23" spans="1:13" x14ac:dyDescent="0.35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1.3703510839477073</v>
      </c>
      <c r="H23" s="7"/>
      <c r="I23" s="7"/>
      <c r="J23" s="9">
        <f>D23*G23</f>
        <v>0</v>
      </c>
      <c r="K23" s="69">
        <f>K11</f>
        <v>5.4351906087040602E-2</v>
      </c>
      <c r="L23" s="69">
        <f>(SUM(J23:J24))/B6</f>
        <v>4.4160478676859398E-2</v>
      </c>
    </row>
    <row r="24" spans="1:13" ht="15" thickBot="1" x14ac:dyDescent="0.4">
      <c r="A24" s="64" t="s">
        <v>38</v>
      </c>
      <c r="B24" s="11"/>
      <c r="C24" s="11"/>
      <c r="D24" s="52">
        <v>364961.5</v>
      </c>
      <c r="E24" s="25">
        <v>1</v>
      </c>
      <c r="F24" s="11" t="s">
        <v>22</v>
      </c>
      <c r="G24" s="61">
        <v>1.3703510839477073</v>
      </c>
      <c r="H24" s="11"/>
      <c r="I24" s="11"/>
      <c r="J24" s="13">
        <f>D24*G24</f>
        <v>500125.3871241812</v>
      </c>
      <c r="K24" s="27"/>
      <c r="L24" s="27"/>
    </row>
    <row r="25" spans="1:13" x14ac:dyDescent="0.35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-5326200</v>
      </c>
      <c r="K25" s="65">
        <f>SUM(K12:K14)</f>
        <v>0.34051945909628778</v>
      </c>
      <c r="L25" s="20">
        <f>SUM(J25:J29)/$B$6</f>
        <v>0.35999797760517532</v>
      </c>
    </row>
    <row r="26" spans="1:13" x14ac:dyDescent="0.35">
      <c r="A26" s="5" t="s">
        <v>13</v>
      </c>
      <c r="B26" s="5"/>
      <c r="C26" s="5"/>
      <c r="D26" s="49">
        <v>1605463.01</v>
      </c>
      <c r="E26" s="23">
        <v>1</v>
      </c>
      <c r="F26" s="7" t="s">
        <v>5</v>
      </c>
      <c r="G26" s="7"/>
      <c r="H26" s="4"/>
      <c r="I26" s="4"/>
      <c r="J26" s="6">
        <f>D26</f>
        <v>1605463.01</v>
      </c>
      <c r="K26" s="4"/>
      <c r="L26" s="4"/>
    </row>
    <row r="27" spans="1:13" x14ac:dyDescent="0.35">
      <c r="A27" s="5" t="s">
        <v>14</v>
      </c>
      <c r="B27" s="5"/>
      <c r="C27" s="5"/>
      <c r="D27" s="49">
        <v>7992085.2599999998</v>
      </c>
      <c r="E27" s="23">
        <v>1</v>
      </c>
      <c r="F27" s="7" t="s">
        <v>5</v>
      </c>
      <c r="G27" s="7"/>
      <c r="H27" s="4"/>
      <c r="I27" s="4"/>
      <c r="J27" s="6">
        <f>D27-J24-J22</f>
        <v>6049518.3764137914</v>
      </c>
      <c r="K27" s="4"/>
      <c r="L27" s="4"/>
    </row>
    <row r="28" spans="1:13" x14ac:dyDescent="0.35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4">
      <c r="A29" s="12" t="s">
        <v>23</v>
      </c>
      <c r="B29" s="12"/>
      <c r="C29" s="12"/>
      <c r="D29" s="30">
        <v>1748260.65</v>
      </c>
      <c r="E29" s="25">
        <v>1</v>
      </c>
      <c r="F29" s="11" t="s">
        <v>5</v>
      </c>
      <c r="G29" s="11"/>
      <c r="H29" s="11"/>
      <c r="I29" s="11"/>
      <c r="J29" s="13">
        <f>D29</f>
        <v>1748260.65</v>
      </c>
      <c r="K29" s="11"/>
      <c r="L29" s="11"/>
    </row>
    <row r="30" spans="1:13" ht="15" thickBot="1" x14ac:dyDescent="0.4">
      <c r="A30" s="1"/>
      <c r="B30" s="1"/>
      <c r="C30" s="1"/>
      <c r="D30" s="36"/>
      <c r="E30" s="1"/>
      <c r="J30" s="33">
        <f>SUM(J20:J29)</f>
        <v>11345808.92</v>
      </c>
      <c r="K30" s="42">
        <f>SUM(K20:K29)</f>
        <v>0.99999999999999944</v>
      </c>
      <c r="L30" s="42">
        <f>SUM(L20:L29)</f>
        <v>1.0018214747394412</v>
      </c>
    </row>
    <row r="31" spans="1:13" x14ac:dyDescent="0.35">
      <c r="A31" s="1"/>
      <c r="B31" s="36"/>
      <c r="C31" s="1"/>
      <c r="D31" s="1"/>
      <c r="E31" s="1"/>
    </row>
    <row r="32" spans="1:13" x14ac:dyDescent="0.35">
      <c r="A32" s="1"/>
      <c r="B32" s="1"/>
      <c r="C32" s="1"/>
      <c r="D32" s="1"/>
      <c r="E32" s="1"/>
    </row>
    <row r="33" spans="1:12" ht="15" thickBot="1" x14ac:dyDescent="0.4">
      <c r="A33" s="2" t="s">
        <v>16</v>
      </c>
    </row>
    <row r="34" spans="1:12" ht="29.5" thickBot="1" x14ac:dyDescent="0.4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5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1.1836</v>
      </c>
      <c r="I35" s="22"/>
      <c r="J35" s="6">
        <f>J20</f>
        <v>5326200</v>
      </c>
      <c r="K35" s="26">
        <f>SUM(K10:K10)</f>
        <v>0.60512863481667101</v>
      </c>
      <c r="L35" s="24">
        <f>SUM(J35:J37)/$B$6</f>
        <v>0.59766301845740644</v>
      </c>
    </row>
    <row r="36" spans="1:12" x14ac:dyDescent="0.35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4">
      <c r="A37" s="11" t="s">
        <v>36</v>
      </c>
      <c r="B37" s="11"/>
      <c r="C37" s="11"/>
      <c r="D37" s="29">
        <v>1221070</v>
      </c>
      <c r="E37" s="25"/>
      <c r="F37" s="11" t="s">
        <v>4</v>
      </c>
      <c r="G37" s="11"/>
      <c r="H37" s="11"/>
      <c r="I37" s="11"/>
      <c r="J37" s="29">
        <f>J22</f>
        <v>1442441.4964620273</v>
      </c>
      <c r="K37" s="27"/>
      <c r="L37" s="28"/>
    </row>
    <row r="38" spans="1:12" x14ac:dyDescent="0.35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5.4351906087040602E-2</v>
      </c>
      <c r="L38" s="69">
        <f>(SUM(J38:J39))/$B$6</f>
        <v>4.4160478676859398E-2</v>
      </c>
    </row>
    <row r="39" spans="1:12" ht="15" thickBot="1" x14ac:dyDescent="0.4">
      <c r="A39" s="11" t="s">
        <v>38</v>
      </c>
      <c r="B39" s="11"/>
      <c r="C39" s="11"/>
      <c r="D39" s="29">
        <v>364961.5</v>
      </c>
      <c r="E39" s="25"/>
      <c r="F39" s="11" t="s">
        <v>22</v>
      </c>
      <c r="G39" s="11"/>
      <c r="H39" s="11"/>
      <c r="I39" s="11"/>
      <c r="J39" s="29">
        <f>J24</f>
        <v>500125.3871241812</v>
      </c>
      <c r="K39" s="27"/>
      <c r="L39" s="27"/>
    </row>
    <row r="40" spans="1:12" ht="15" thickBot="1" x14ac:dyDescent="0.4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4077042.0364137911</v>
      </c>
      <c r="K40" s="71">
        <f>K25</f>
        <v>0.34051945909628778</v>
      </c>
      <c r="L40" s="71">
        <f>L25</f>
        <v>0.35999797760517532</v>
      </c>
    </row>
    <row r="41" spans="1:12" ht="15" thickBot="1" x14ac:dyDescent="0.4">
      <c r="A41" s="1"/>
      <c r="B41" s="1"/>
      <c r="C41" s="1"/>
      <c r="D41" s="1"/>
      <c r="E41" s="1"/>
      <c r="J41" s="33">
        <f>SUM(J35:J40)</f>
        <v>11345808.92</v>
      </c>
      <c r="K41" s="42">
        <f>SUM(K35:K40)</f>
        <v>0.99999999999999944</v>
      </c>
      <c r="L41" s="42">
        <f>SUM(L35:L40)</f>
        <v>1.0018214747394412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2026-02-04T18:07:54Z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