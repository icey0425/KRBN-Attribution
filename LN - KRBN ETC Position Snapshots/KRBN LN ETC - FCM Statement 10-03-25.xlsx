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EE282C8-4AD4-45DB-A0E1-12349F493806}" xr6:coauthVersionLast="47" xr6:coauthVersionMax="47" xr10:uidLastSave="{3E7360B2-DD91-40B1-BA60-A97278E94D18}"/>
  <bookViews>
    <workbookView xWindow="30420" yWindow="5055" windowWidth="2203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<sst xmlns="http://schemas.openxmlformats.org/spreadsheetml/2006/main" count="103" uniqueCount="56">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</sst>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45933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9863771.3999999985</v>
      </c>
      <c r="J6" t="s">
        <v>25</v>
      </c>
    </row>
    <row r="7" spans="1:13" x14ac:dyDescent="0.3">
      <c r="J7" s="57">
        <f>(D28+D29)/B6</f>
        <v>0.97929549137766947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1.1740534194305841</v>
      </c>
      <c r="H10" s="49">
        <v>79.16</v>
      </c>
      <c r="I10" s="4"/>
      <c r="J10" s="9">
        <f>D10*E10*G10*H10</f>
        <v>5390407.9835632518</v>
      </c>
      <c r="K10" s="54">
        <v>0.55064324032955403</v>
      </c>
      <c r="L10" s="20">
        <f t="shared" ref="L10:L15" si="0">J10/$B$6</f>
        <v>0.54648549372943223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1.1740534194305841</v>
      </c>
      <c r="H11" s="49">
        <v>81.209999999999994</v>
      </c>
      <c r="I11" s="4"/>
      <c r="J11" s="9">
        <f t="shared" ref="J11:J12" si="1">D11*E11*G11*H11</f>
        <v>476724.39095978864</v>
      </c>
      <c r="K11" s="54">
        <v>5.0060834104652001E-2</v>
      </c>
      <c r="L11" s="20">
        <f t="shared" si="0"/>
        <v>4.8330843409427421E-2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1.3472549680026946</v>
      </c>
      <c r="H12" s="49">
        <v>57.02</v>
      </c>
      <c r="I12" s="4"/>
      <c r="J12" s="9">
        <f t="shared" si="1"/>
        <v>460922.86965308187</v>
      </c>
      <c r="K12" s="54">
        <v>4.7845473131706402E-2</v>
      </c>
      <c r="L12" s="20">
        <f t="shared" si="0"/>
        <v>4.6728867789158406E-2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32.130000000000003</v>
      </c>
      <c r="I13" s="4"/>
      <c r="J13" s="9">
        <f>D13*E13*H13</f>
        <v>1927800.0000000002</v>
      </c>
      <c r="K13" s="54">
        <v>0.20600407537000701</v>
      </c>
      <c r="L13" s="20">
        <f t="shared" si="0"/>
        <v>0.19544248561964853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33.86</v>
      </c>
      <c r="I14" s="4"/>
      <c r="J14" s="9">
        <f>D14*E14*H14</f>
        <v>507900</v>
      </c>
      <c r="K14" s="54">
        <v>5.0883084607168103E-2</v>
      </c>
      <c r="L14" s="20">
        <f t="shared" ref="L14" si="2">J14/$B$6</f>
        <v>5.1491460963906777E-2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22.1</v>
      </c>
      <c r="I15" s="4"/>
      <c r="J15" s="9">
        <f>D15*E15*H15</f>
        <v>464100.00000000006</v>
      </c>
      <c r="K15" s="54">
        <v>4.7598205873902101E-2</v>
      </c>
      <c r="L15" s="20">
        <f t="shared" si="0"/>
        <v>4.7050968760285757E-2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64.36</v>
      </c>
      <c r="I16" s="11"/>
      <c r="J16" s="13">
        <f>D16*E16*H16</f>
        <v>450520</v>
      </c>
      <c r="K16" s="55">
        <v>4.6965086583009699E-2</v>
      </c>
      <c r="L16" s="20">
        <f>J16/$B$6</f>
        <v>4.567421341496216E-2</v>
      </c>
    </row>
    <row r="17" spans="1:13" ht="15" thickBot="1" x14ac:dyDescent="0.35">
      <c r="J17" s="33">
        <f>SUM(J10:J16)</f>
        <v>9678375.2441761233</v>
      </c>
      <c r="K17" s="34">
        <f>SUM(K10:K16)</f>
        <v>0.99999999999999922</v>
      </c>
      <c r="L17" s="35">
        <f>SUM(L10:L16)</f>
        <v>0.98120433368682125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1.1787000000000001</v>
      </c>
      <c r="I22" s="22"/>
      <c r="J22" s="6">
        <f>D22*E22*H22</f>
        <v>4420125</v>
      </c>
      <c r="K22" s="26">
        <f>SUM(K10:K11)</f>
        <v>0.60070407443420604</v>
      </c>
      <c r="L22" s="24">
        <f>SUM(J22:J24)/$B$6</f>
        <v>0.58469185193711981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1.1740534194305841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1147428</v>
      </c>
      <c r="E24" s="25">
        <v>1</v>
      </c>
      <c r="F24" s="11" t="s">
        <v>4</v>
      </c>
      <c r="G24" s="61">
        <v>1.1740534194305841</v>
      </c>
      <c r="H24" s="11"/>
      <c r="I24" s="11"/>
      <c r="J24" s="13">
        <f>D24*G24</f>
        <v>1347141.7669503961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1.3472549680026946</v>
      </c>
      <c r="H25" s="7"/>
      <c r="I25" s="7"/>
      <c r="J25" s="9">
        <f>D25*G25</f>
        <v>0</v>
      </c>
      <c r="K25" s="69">
        <f>K12</f>
        <v>4.7845473131706402E-2</v>
      </c>
      <c r="L25" s="69">
        <f>(SUM(J25:J26))/B6</f>
        <v>4.7765147223030574E-2</v>
      </c>
    </row>
    <row r="26" spans="1:13" ht="15" thickBot="1" x14ac:dyDescent="0.35">
      <c r="A26" s="64" t="s">
        <v>53</v>
      </c>
      <c r="B26" s="11"/>
      <c r="C26" s="11"/>
      <c r="D26" s="52">
        <v>349707</v>
      </c>
      <c r="E26" s="25">
        <v>1</v>
      </c>
      <c r="F26" s="11" t="s">
        <v>22</v>
      </c>
      <c r="G26" s="61">
        <v>1.3472549680026946</v>
      </c>
      <c r="H26" s="11"/>
      <c r="I26" s="11"/>
      <c r="J26" s="13">
        <f>D26*G26</f>
        <v>471144.49309531832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-4420125</v>
      </c>
      <c r="K27" s="65">
        <f>SUM(K13:K16)</f>
        <v>0.3514504524340869</v>
      </c>
      <c r="L27" s="20">
        <f>SUM(J27:J31)/$B$6</f>
        <v>0.36812497600606264</v>
      </c>
    </row>
    <row r="28" spans="1:13" x14ac:dyDescent="0.3">
      <c r="A28" s="5" t="s">
        <v>13</v>
      </c>
      <c r="B28" s="5"/>
      <c r="C28" s="5"/>
      <c r="D28" s="49">
        <v>1212193.72</v>
      </c>
      <c r="E28" s="23">
        <v>1</v>
      </c>
      <c r="F28" s="7" t="s">
        <v>5</v>
      </c>
      <c r="G28" s="7"/>
      <c r="H28" s="4"/>
      <c r="I28" s="4"/>
      <c r="J28" s="6">
        <f>D28</f>
        <v>1212193.72</v>
      </c>
      <c r="K28" s="4"/>
      <c r="L28" s="4"/>
    </row>
    <row r="29" spans="1:13" x14ac:dyDescent="0.3">
      <c r="A29" s="5" t="s">
        <v>14</v>
      </c>
      <c r="B29" s="5"/>
      <c r="C29" s="5"/>
      <c r="D29" s="49">
        <v>8447353.1400000006</v>
      </c>
      <c r="E29" s="23">
        <v>1</v>
      </c>
      <c r="F29" s="7" t="s">
        <v>5</v>
      </c>
      <c r="G29" s="7"/>
      <c r="H29" s="4"/>
      <c r="I29" s="4"/>
      <c r="J29" s="6">
        <f>D29-J26-J24</f>
        <v>6629066.8799542869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209965.01</v>
      </c>
      <c r="E31" s="25">
        <v>1</v>
      </c>
      <c r="F31" s="11" t="s">
        <v>5</v>
      </c>
      <c r="G31" s="11"/>
      <c r="H31" s="11"/>
      <c r="I31" s="11"/>
      <c r="J31" s="13">
        <f>D31</f>
        <v>209965.01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9869511.870000001</v>
      </c>
      <c r="K32" s="42">
        <f>SUM(K22:K31)</f>
        <v>0.99999999999999933</v>
      </c>
      <c r="L32" s="42">
        <f>SUM(L22:L31)</f>
        <v>1.0005819751662131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1.1787000000000001</v>
      </c>
      <c r="I37" s="22"/>
      <c r="J37" s="6">
        <f>J22</f>
        <v>4420125</v>
      </c>
      <c r="K37" s="26">
        <f>SUM(K10:K11)</f>
        <v>0.60070407443420604</v>
      </c>
      <c r="L37" s="24">
        <f>SUM(J37:J39)/$B$6</f>
        <v>0.58469185193711981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1147428</v>
      </c>
      <c r="E39" s="25"/>
      <c r="F39" s="11" t="s">
        <v>4</v>
      </c>
      <c r="G39" s="11"/>
      <c r="H39" s="11"/>
      <c r="I39" s="11"/>
      <c r="J39" s="29">
        <f>J24</f>
        <v>1347141.7669503961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4.7845473131706402E-2</v>
      </c>
      <c r="L40" s="69">
        <f>(SUM(J40:J41))/$B$6</f>
        <v>4.7765147223030574E-2</v>
      </c>
    </row>
    <row r="41" spans="1:12" ht="15" thickBot="1" x14ac:dyDescent="0.35">
      <c r="A41" s="11" t="s">
        <v>53</v>
      </c>
      <c r="B41" s="11"/>
      <c r="C41" s="11"/>
      <c r="D41" s="29">
        <v>349707</v>
      </c>
      <c r="E41" s="25"/>
      <c r="F41" s="11" t="s">
        <v>22</v>
      </c>
      <c r="G41" s="11"/>
      <c r="H41" s="11"/>
      <c r="I41" s="11"/>
      <c r="J41" s="29">
        <f>J26</f>
        <v>471144.49309531832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3631100.6099542864</v>
      </c>
      <c r="K42" s="71">
        <f>K27</f>
        <v>0.3514504524340869</v>
      </c>
      <c r="L42" s="71">
        <f>L27</f>
        <v>0.36812497600606264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9869511.870000001</v>
      </c>
      <c r="K43" s="42">
        <f>SUM(K37:K42)</f>
        <v>0.99999999999999933</v>
      </c>
      <c r="L43" s="42">
        <f>SUM(L37:L42)</f>
        <v>1.0005819751662131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2025-10-04T21:49:09Z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