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CA91F71-D70C-43CE-ACF9-BDEBD92FE895}" xr6:coauthVersionLast="47" xr6:coauthVersionMax="47" xr10:uidLastSave="{3EA4FF63-EEC2-4E83-95BB-4821B4E50FD1}"/>
  <bookViews>
    <workbookView xWindow="30105" yWindow="6450" windowWidth="22140" windowHeight="100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<sst xmlns="http://schemas.openxmlformats.org/spreadsheetml/2006/main" count="95" uniqueCount="50">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</sst>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46076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10207549.52</v>
      </c>
      <c r="J6" t="s">
        <v>25</v>
      </c>
    </row>
    <row r="7" spans="1:12" x14ac:dyDescent="0.3">
      <c r="J7" s="57">
        <f>(D26+D27)/B6</f>
        <v>0.8296002515988774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1.1794956476610601</v>
      </c>
      <c r="H10" s="49">
        <v>71.38</v>
      </c>
      <c r="I10" s="4"/>
      <c r="J10" s="9">
        <f>D10*E10*G10*H10</f>
        <v>5809275.5537732057</v>
      </c>
      <c r="K10" s="54">
        <v>0.57684669819615397</v>
      </c>
      <c r="L10" s="20">
        <f t="shared" ref="L10:L13" si="0">J10/$B$6</f>
        <v>0.56911558865238854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1.3495458778121161</v>
      </c>
      <c r="H11" s="49">
        <v>46.38</v>
      </c>
      <c r="I11" s="4"/>
      <c r="J11" s="9">
        <f t="shared" ref="J11" si="1">D11*E11*G11*H11</f>
        <v>438143.56469048164</v>
      </c>
      <c r="K11" s="54">
        <v>4.3922559855150499E-2</v>
      </c>
      <c r="L11" s="20">
        <f t="shared" si="0"/>
        <v>4.2923481667369041E-2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29.73</v>
      </c>
      <c r="I12" s="4"/>
      <c r="J12" s="9">
        <f>D12*E12*H12</f>
        <v>2675700</v>
      </c>
      <c r="K12" s="54">
        <v>0.27103980790964899</v>
      </c>
      <c r="L12" s="20">
        <f t="shared" si="0"/>
        <v>0.2621295145085909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23.93</v>
      </c>
      <c r="I13" s="4"/>
      <c r="J13" s="9">
        <f>D13*E13*H13</f>
        <v>478600</v>
      </c>
      <c r="K13" s="54">
        <v>4.6572413976684802E-2</v>
      </c>
      <c r="L13" s="20">
        <f t="shared" si="0"/>
        <v>4.6886865360022276E-2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74.010000000000005</v>
      </c>
      <c r="I14" s="11"/>
      <c r="J14" s="13">
        <f>D14*E14*H14</f>
        <v>592080</v>
      </c>
      <c r="K14" s="55">
        <v>6.1618520062360897E-2</v>
      </c>
      <c r="L14" s="20">
        <f>J14/$B$6</f>
        <v>5.8004127125704116E-2</v>
      </c>
    </row>
    <row r="15" spans="1:12" ht="15" thickBot="1" x14ac:dyDescent="0.35">
      <c r="J15" s="33">
        <f>SUM(J10:J14)</f>
        <v>9993799.1184636876</v>
      </c>
      <c r="K15" s="34">
        <f>SUM(K10:K14)</f>
        <v>0.99999999999999911</v>
      </c>
      <c r="L15" s="35">
        <f>SUM(L10:L14)</f>
        <v>0.97905957731407489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1.1803000000000001</v>
      </c>
      <c r="I20" s="22"/>
      <c r="J20" s="6">
        <f>D20*E20*H20</f>
        <v>5311350.0000000009</v>
      </c>
      <c r="K20" s="26">
        <f>SUM(K10:K10)</f>
        <v>0.57684669819615397</v>
      </c>
      <c r="L20" s="24">
        <f>SUM(J20:J22)/$B$6</f>
        <v>0.56790793390557659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1.1794956476610601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411700</v>
      </c>
      <c r="E22" s="25">
        <v>1</v>
      </c>
      <c r="F22" s="11" t="s">
        <v>4</v>
      </c>
      <c r="G22" s="61">
        <v>1.1794956476610601</v>
      </c>
      <c r="H22" s="11"/>
      <c r="I22" s="11"/>
      <c r="J22" s="13">
        <f>D22*G22</f>
        <v>485598.35814205842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1.3495458778121161</v>
      </c>
      <c r="H23" s="7"/>
      <c r="I23" s="7"/>
      <c r="J23" s="9">
        <f>D23*G23</f>
        <v>0</v>
      </c>
      <c r="K23" s="69">
        <f>K11</f>
        <v>4.3922559855150499E-2</v>
      </c>
      <c r="L23" s="69">
        <f>(SUM(J23:J24))/B6</f>
        <v>3.3027719277237605E-2</v>
      </c>
    </row>
    <row r="24" spans="1:13" ht="15" thickBot="1" x14ac:dyDescent="0.35">
      <c r="A24" s="64" t="s">
        <v>38</v>
      </c>
      <c r="B24" s="11"/>
      <c r="C24" s="11"/>
      <c r="D24" s="52">
        <v>249811.5</v>
      </c>
      <c r="E24" s="25">
        <v>1</v>
      </c>
      <c r="F24" s="11" t="s">
        <v>22</v>
      </c>
      <c r="G24" s="61">
        <v>1.3495458778121161</v>
      </c>
      <c r="H24" s="11"/>
      <c r="I24" s="11"/>
      <c r="J24" s="13">
        <f>D24*G24</f>
        <v>337132.08005506144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-5311350.0000000009</v>
      </c>
      <c r="K25" s="65">
        <f>SUM(K12:K14)</f>
        <v>0.37923074194869472</v>
      </c>
      <c r="L25" s="20">
        <f>SUM(J25:J29)/$B$6</f>
        <v>0.39915475539156425</v>
      </c>
    </row>
    <row r="26" spans="1:13" x14ac:dyDescent="0.3">
      <c r="A26" s="5" t="s">
        <v>13</v>
      </c>
      <c r="B26" s="5"/>
      <c r="C26" s="5"/>
      <c r="D26" s="49">
        <v>1526976.04</v>
      </c>
      <c r="E26" s="23">
        <v>1</v>
      </c>
      <c r="F26" s="7" t="s">
        <v>5</v>
      </c>
      <c r="G26" s="7"/>
      <c r="H26" s="4"/>
      <c r="I26" s="4"/>
      <c r="J26" s="6">
        <f>D26</f>
        <v>1526976.04</v>
      </c>
      <c r="K26" s="4"/>
      <c r="L26" s="4"/>
    </row>
    <row r="27" spans="1:13" x14ac:dyDescent="0.3">
      <c r="A27" s="5" t="s">
        <v>14</v>
      </c>
      <c r="B27" s="5"/>
      <c r="C27" s="5"/>
      <c r="D27" s="49">
        <v>6941209.6100000003</v>
      </c>
      <c r="E27" s="23">
        <v>1</v>
      </c>
      <c r="F27" s="7" t="s">
        <v>5</v>
      </c>
      <c r="G27" s="7"/>
      <c r="H27" s="4"/>
      <c r="I27" s="4"/>
      <c r="J27" s="6">
        <f>D27-J24-J22</f>
        <v>6118479.1718028802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10208472.370000001</v>
      </c>
      <c r="K30" s="42">
        <f>SUM(K20:K29)</f>
        <v>0.99999999999999911</v>
      </c>
      <c r="L30" s="42">
        <f>SUM(L20:L29)</f>
        <v>1.0000904085743785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1.1803000000000001</v>
      </c>
      <c r="I35" s="22"/>
      <c r="J35" s="6">
        <f>J20</f>
        <v>5311350.0000000009</v>
      </c>
      <c r="K35" s="26">
        <f>SUM(K10:K10)</f>
        <v>0.57684669819615397</v>
      </c>
      <c r="L35" s="24">
        <f>SUM(J35:J37)/$B$6</f>
        <v>0.56790793390557659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411700</v>
      </c>
      <c r="E37" s="25"/>
      <c r="F37" s="11" t="s">
        <v>4</v>
      </c>
      <c r="G37" s="11"/>
      <c r="H37" s="11"/>
      <c r="I37" s="11"/>
      <c r="J37" s="29">
        <f>J22</f>
        <v>485598.35814205842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4.3922559855150499E-2</v>
      </c>
      <c r="L38" s="69">
        <f>(SUM(J38:J39))/$B$6</f>
        <v>3.3027719277237605E-2</v>
      </c>
    </row>
    <row r="39" spans="1:12" ht="15" thickBot="1" x14ac:dyDescent="0.35">
      <c r="A39" s="11" t="s">
        <v>38</v>
      </c>
      <c r="B39" s="11"/>
      <c r="C39" s="11"/>
      <c r="D39" s="29">
        <v>249811.5</v>
      </c>
      <c r="E39" s="25"/>
      <c r="F39" s="11" t="s">
        <v>22</v>
      </c>
      <c r="G39" s="11"/>
      <c r="H39" s="11"/>
      <c r="I39" s="11"/>
      <c r="J39" s="29">
        <f>J24</f>
        <v>337132.08005506144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4074391.9318028791</v>
      </c>
      <c r="K40" s="71">
        <f>K25</f>
        <v>0.37923074194869472</v>
      </c>
      <c r="L40" s="71">
        <f>L25</f>
        <v>0.39915475539156425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10208472.370000001</v>
      </c>
      <c r="K41" s="42">
        <f>SUM(K35:K40)</f>
        <v>0.99999999999999911</v>
      </c>
      <c r="L41" s="42">
        <f>SUM(L35:L40)</f>
        <v>1.0000904085743785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2026-02-24T13:25:08Z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