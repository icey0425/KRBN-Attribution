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6C7B47F8-C50D-4F2D-BD4A-ED96E39A035C}" xr6:coauthVersionLast="47" xr6:coauthVersionMax="47" xr10:uidLastSave="{00000000-0000-0000-0000-000000000000}"/>
  <bookViews>
    <workbookView xWindow="42720" yWindow="3690" windowWidth="988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<sst xmlns="http://schemas.openxmlformats.org/spreadsheetml/2006/main" count="103" uniqueCount="56">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</sst>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34</v>
      </c>
      <c r="J2" s="43"/>
      <c r="K2" s="44"/>
      <c r="L2" s="45"/>
    </row>
    <row r="3" spans="1:12" x14ac:dyDescent="0.35">
      <c r="A3" t="s">
        <v>15</v>
      </c>
      <c r="B3" s="56">
        <v>45748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>
        <v>0</v>
      </c>
    </row>
    <row r="6" spans="1:12" x14ac:dyDescent="0.35">
      <c r="A6" s="2" t="s">
        <v>19</v>
      </c>
      <c r="B6" s="37">
        <v>11661580.969999999</v>
      </c>
      <c r="J6" t="s">
        <v>25</v>
      </c>
    </row>
    <row r="7" spans="1:12" x14ac:dyDescent="0.35">
      <c r="J7" s="57">
        <f>(D28+D29)/B6</f>
        <v>0.94903954004788793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1.0810460201290768</v>
      </c>
      <c r="H10" s="49">
        <v>69.86</v>
      </c>
      <c r="I10" s="4"/>
      <c r="J10" s="9">
        <f>D10*E10*G10*H10</f>
        <v>6494881.247094688</v>
      </c>
      <c r="K10" s="54">
        <v>0.56928856743441802</v>
      </c>
      <c r="L10" s="20">
        <f t="shared" ref="L10:L15" si="0">J10/$B$6</f>
        <v>0.55694688943146686</v>
      </c>
    </row>
    <row r="11" spans="1:12" x14ac:dyDescent="0.35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1.0810460201290768</v>
      </c>
      <c r="H11" s="49">
        <v>71.849999999999994</v>
      </c>
      <c r="I11" s="4"/>
      <c r="J11" s="9">
        <f t="shared" ref="J11:J12" si="1">D11*E11*G11*H11</f>
        <v>621385.25237019337</v>
      </c>
      <c r="K11" s="54">
        <v>5.1709245964056502E-2</v>
      </c>
      <c r="L11" s="20">
        <f t="shared" si="0"/>
        <v>5.3284820811924045E-2</v>
      </c>
    </row>
    <row r="12" spans="1:12" x14ac:dyDescent="0.35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1.2924071082390953</v>
      </c>
      <c r="H12" s="49">
        <v>45.89</v>
      </c>
      <c r="I12" s="4"/>
      <c r="J12" s="9">
        <f t="shared" si="1"/>
        <v>711702.74636510503</v>
      </c>
      <c r="K12" s="54">
        <v>6.1706261772755198E-2</v>
      </c>
      <c r="L12" s="20">
        <f t="shared" si="0"/>
        <v>6.1029696419035807E-2</v>
      </c>
    </row>
    <row r="13" spans="1:12" x14ac:dyDescent="0.35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30.49</v>
      </c>
      <c r="I13" s="4"/>
      <c r="J13" s="9">
        <f>D13*E13*H13</f>
        <v>1920870</v>
      </c>
      <c r="K13" s="54">
        <v>0.171415416836006</v>
      </c>
      <c r="L13" s="20">
        <f t="shared" si="0"/>
        <v>0.16471780326711569</v>
      </c>
    </row>
    <row r="14" spans="1:12" x14ac:dyDescent="0.35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32.450000000000003</v>
      </c>
      <c r="I14" s="4"/>
      <c r="J14" s="9">
        <f>D14*E14*H14</f>
        <v>519200.00000000006</v>
      </c>
      <c r="K14" s="54">
        <v>4.3058356132608402E-2</v>
      </c>
      <c r="L14" s="20">
        <f t="shared" ref="L14" si="2">J14/$B$6</f>
        <v>4.4522265148753681E-2</v>
      </c>
    </row>
    <row r="15" spans="1:12" x14ac:dyDescent="0.35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23.88</v>
      </c>
      <c r="I15" s="4"/>
      <c r="J15" s="9">
        <f>D15*E15*H15</f>
        <v>573120</v>
      </c>
      <c r="K15" s="54">
        <v>5.1385650290230303E-2</v>
      </c>
      <c r="L15" s="20">
        <f t="shared" si="0"/>
        <v>4.9145994996251358E-2</v>
      </c>
    </row>
    <row r="16" spans="1:12" ht="15" thickBot="1" x14ac:dyDescent="0.4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60.49</v>
      </c>
      <c r="I16" s="11"/>
      <c r="J16" s="13">
        <f>D16*E16*H16</f>
        <v>604900</v>
      </c>
      <c r="K16" s="55">
        <v>5.1436501569924999E-2</v>
      </c>
      <c r="L16" s="20">
        <f>J16/$B$6</f>
        <v>5.1871182951619986E-2</v>
      </c>
    </row>
    <row r="17" spans="1:13" ht="15" thickBot="1" x14ac:dyDescent="0.4">
      <c r="J17" s="33">
        <f>SUM(J10:J16)</f>
        <v>11446059.245829986</v>
      </c>
      <c r="K17" s="34">
        <f>SUM(K10:K16)</f>
        <v>0.99999999999999944</v>
      </c>
      <c r="L17" s="35">
        <f>SUM(L10:L16)</f>
        <v>0.98151865302616748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1.0832999999999999</v>
      </c>
      <c r="I22" s="22"/>
      <c r="J22" s="6">
        <f>D22*E22*H22</f>
        <v>6770625</v>
      </c>
      <c r="K22" s="26">
        <f>SUM(K10:K11)</f>
        <v>0.62099781339847449</v>
      </c>
      <c r="L22" s="24">
        <f>SUM(J22:J24)/$B$6</f>
        <v>0.62646404317102744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1.0810460201290768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494832</v>
      </c>
      <c r="E24" s="25">
        <v>1</v>
      </c>
      <c r="F24" s="11" t="s">
        <v>4</v>
      </c>
      <c r="G24" s="61">
        <v>1.0810460201290768</v>
      </c>
      <c r="H24" s="11"/>
      <c r="I24" s="11"/>
      <c r="J24" s="13">
        <f>D24*G24</f>
        <v>534936.16423251131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1.2924071082390953</v>
      </c>
      <c r="H25" s="7"/>
      <c r="I25" s="7"/>
      <c r="J25" s="9">
        <f>D25*G25</f>
        <v>0</v>
      </c>
      <c r="K25" s="69">
        <f>K12</f>
        <v>6.1706261772755198E-2</v>
      </c>
      <c r="L25" s="69">
        <f>(SUM(J25:J26))/B6</f>
        <v>5.3385801196013834E-2</v>
      </c>
    </row>
    <row r="26" spans="1:13" ht="15" thickBot="1" x14ac:dyDescent="0.4">
      <c r="A26" s="64" t="s">
        <v>53</v>
      </c>
      <c r="B26" s="11"/>
      <c r="C26" s="11"/>
      <c r="D26" s="52">
        <v>481708</v>
      </c>
      <c r="E26" s="25">
        <v>1</v>
      </c>
      <c r="F26" s="11" t="s">
        <v>22</v>
      </c>
      <c r="G26" s="61">
        <v>1.2924071082390953</v>
      </c>
      <c r="H26" s="11"/>
      <c r="I26" s="11"/>
      <c r="J26" s="13">
        <f>D26*G26</f>
        <v>622562.8432956381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-6770625</v>
      </c>
      <c r="K27" s="65">
        <f>SUM(K13:K16)</f>
        <v>0.31729592482876973</v>
      </c>
      <c r="L27" s="20">
        <f>SUM(J27:J31)/$B$6</f>
        <v>0.3206025153956335</v>
      </c>
    </row>
    <row r="28" spans="1:13" x14ac:dyDescent="0.35">
      <c r="A28" s="5" t="s">
        <v>13</v>
      </c>
      <c r="B28" s="5"/>
      <c r="C28" s="5"/>
      <c r="D28" s="49">
        <v>1805604.87</v>
      </c>
      <c r="E28" s="23">
        <v>1</v>
      </c>
      <c r="F28" s="7" t="s">
        <v>5</v>
      </c>
      <c r="G28" s="7"/>
      <c r="H28" s="4"/>
      <c r="I28" s="4"/>
      <c r="J28" s="6">
        <f>D28</f>
        <v>1805604.87</v>
      </c>
      <c r="K28" s="4"/>
      <c r="L28" s="4"/>
    </row>
    <row r="29" spans="1:13" x14ac:dyDescent="0.35">
      <c r="A29" s="5" t="s">
        <v>14</v>
      </c>
      <c r="B29" s="5"/>
      <c r="C29" s="5"/>
      <c r="D29" s="49">
        <v>9261696.5700000003</v>
      </c>
      <c r="E29" s="23">
        <v>1</v>
      </c>
      <c r="F29" s="7" t="s">
        <v>5</v>
      </c>
      <c r="G29" s="7"/>
      <c r="H29" s="4"/>
      <c r="I29" s="4"/>
      <c r="J29" s="6">
        <f>D29-J26-J24</f>
        <v>8104197.5624718517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599554.76</v>
      </c>
      <c r="E31" s="25">
        <v>1</v>
      </c>
      <c r="F31" s="11" t="s">
        <v>5</v>
      </c>
      <c r="G31" s="11"/>
      <c r="H31" s="11"/>
      <c r="I31" s="11"/>
      <c r="J31" s="13">
        <f>D31</f>
        <v>599554.76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11666856.200000001</v>
      </c>
      <c r="K32" s="42">
        <f>SUM(K22:K31)</f>
        <v>0.99999999999999933</v>
      </c>
      <c r="L32" s="42">
        <f>SUM(L22:L31)</f>
        <v>1.0004523597626749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1.0832999999999999</v>
      </c>
      <c r="I37" s="22"/>
      <c r="J37" s="6">
        <f>J22</f>
        <v>6770625</v>
      </c>
      <c r="K37" s="26">
        <f>SUM(K10:K11)</f>
        <v>0.62099781339847449</v>
      </c>
      <c r="L37" s="24">
        <f>SUM(J37:J39)/$B$6</f>
        <v>0.62646404317102744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494832</v>
      </c>
      <c r="E39" s="25"/>
      <c r="F39" s="11" t="s">
        <v>4</v>
      </c>
      <c r="G39" s="11"/>
      <c r="H39" s="11"/>
      <c r="I39" s="11"/>
      <c r="J39" s="29">
        <f>J24</f>
        <v>534936.16423251131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6.1706261772755198E-2</v>
      </c>
      <c r="L40" s="69">
        <f>(SUM(J40:J41))/$B$6</f>
        <v>5.3385801196013834E-2</v>
      </c>
    </row>
    <row r="41" spans="1:12" ht="15" thickBot="1" x14ac:dyDescent="0.4">
      <c r="A41" s="11" t="s">
        <v>53</v>
      </c>
      <c r="B41" s="11"/>
      <c r="C41" s="11"/>
      <c r="D41" s="29">
        <v>481708</v>
      </c>
      <c r="E41" s="25"/>
      <c r="F41" s="11" t="s">
        <v>22</v>
      </c>
      <c r="G41" s="11"/>
      <c r="H41" s="11"/>
      <c r="I41" s="11"/>
      <c r="J41" s="29">
        <f>J26</f>
        <v>622562.8432956381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3738732.1924718516</v>
      </c>
      <c r="K42" s="71">
        <f>K27</f>
        <v>0.31729592482876973</v>
      </c>
      <c r="L42" s="71">
        <f>L27</f>
        <v>0.3206025153956335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11666856.200000001</v>
      </c>
      <c r="K43" s="42">
        <f>SUM(K37:K42)</f>
        <v>0.99999999999999933</v>
      </c>
      <c r="L43" s="42">
        <f>SUM(L37:L42)</f>
        <v>1.0004523597626749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2025-04-02T15:09:05Z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