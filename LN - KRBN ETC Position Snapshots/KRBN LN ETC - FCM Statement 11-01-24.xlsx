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8A51CEDB-EA6A-4C07-A40E-F6B6359DE9B4}" xr6:coauthVersionLast="47" xr6:coauthVersionMax="47" xr10:uidLastSave="{D5141606-E1A1-4311-956B-07C40B075D46}"/>
  <bookViews>
    <workbookView xWindow="30285" yWindow="3885" windowWidth="22065" windowHeight="100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<sst xmlns="http://schemas.openxmlformats.org/spreadsheetml/2006/main" count="91" uniqueCount="51">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</sst>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45597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11989377.23</v>
      </c>
      <c r="J6" t="s">
        <v>27</v>
      </c>
    </row>
    <row r="7" spans="1:12" x14ac:dyDescent="0.3">
      <c r="J7" s="63">
        <f>(D25+D26)/B6</f>
        <v>0.94821184386071733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1.084904636882418</v>
      </c>
      <c r="H10" s="54">
        <v>63.87</v>
      </c>
      <c r="I10" s="5"/>
      <c r="J10" s="10">
        <f>D10*E10*G10*H10</f>
        <v>6167064.4650335237</v>
      </c>
      <c r="K10" s="60">
        <v>0.52905235850728005</v>
      </c>
      <c r="L10" s="21">
        <f t="shared" ref="L10:L14" si="0">J10/$B$6</f>
        <v>0.51437738147084089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1.084904636882418</v>
      </c>
      <c r="H11" s="54">
        <v>65.91</v>
      </c>
      <c r="I11" s="5"/>
      <c r="J11" s="10">
        <f t="shared" ref="J11:J12" si="1">D11*E11*G11*H11</f>
        <v>572048.51693536143</v>
      </c>
      <c r="K11" s="60">
        <v>4.7620345089087301E-2</v>
      </c>
      <c r="L11" s="21">
        <f t="shared" si="0"/>
        <v>4.7712946716195817E-2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1.2958571447083673</v>
      </c>
      <c r="H12" s="54">
        <v>37.89</v>
      </c>
      <c r="I12" s="5"/>
      <c r="J12" s="10">
        <f t="shared" si="1"/>
        <v>491000.27213000041</v>
      </c>
      <c r="K12" s="60">
        <v>4.4295996300606502E-2</v>
      </c>
      <c r="L12" s="21">
        <f t="shared" si="0"/>
        <v>4.0952942151274721E-2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37.93</v>
      </c>
      <c r="I13" s="5"/>
      <c r="J13" s="10">
        <f>D13*E13*H13</f>
        <v>3072330</v>
      </c>
      <c r="K13" s="60">
        <v>0.27165543550605298</v>
      </c>
      <c r="L13" s="21">
        <f t="shared" si="0"/>
        <v>0.25625434424670279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40.14</v>
      </c>
      <c r="I14" s="5"/>
      <c r="J14" s="10">
        <f>D14*E14*H14</f>
        <v>602100</v>
      </c>
      <c r="K14" s="60">
        <v>5.3772105839436701E-2</v>
      </c>
      <c r="L14" s="21">
        <f t="shared" si="0"/>
        <v>5.0219455810716865E-2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20.9</v>
      </c>
      <c r="I15" s="12"/>
      <c r="J15" s="14">
        <f>D15*E15*H15</f>
        <v>627000</v>
      </c>
      <c r="K15" s="61">
        <v>5.3603758757535903E-2</v>
      </c>
      <c r="L15" s="21">
        <f>J15/$B$6</f>
        <v>5.2296294292176505E-2</v>
      </c>
    </row>
    <row r="16" spans="1:12" ht="15" thickBot="1" x14ac:dyDescent="0.35">
      <c r="J16" s="35">
        <f>SUM(J10:J15)</f>
        <v>11531543.254098885</v>
      </c>
      <c r="K16" s="36">
        <f>SUM(K10:K15)</f>
        <v>0.99999999999999944</v>
      </c>
      <c r="L16" s="37">
        <f>SUM(L10:L15)</f>
        <v>0.96181336468790768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>
        <v>52</v>
      </c>
      <c r="E21" s="51">
        <v>125000</v>
      </c>
      <c r="F21" s="5" t="s">
        <v>5</v>
      </c>
      <c r="G21" s="23"/>
      <c r="H21" s="58">
        <v>1.08575</v>
      </c>
      <c r="I21" s="23"/>
      <c r="J21" s="7">
        <f>D21*E21*H21</f>
        <v>7057375</v>
      </c>
      <c r="K21" s="27">
        <f>SUM(K10:K11)</f>
        <v>0.57667270359636735</v>
      </c>
      <c r="L21" s="25">
        <f>SUM(J21:J22)/$B$6</f>
        <v>0.58863566177073234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1.084904636882418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1.2958571447083673</v>
      </c>
      <c r="H23" s="41"/>
      <c r="I23" s="41"/>
      <c r="J23" s="43">
        <f>D23*G23</f>
        <v>0</v>
      </c>
      <c r="K23" s="44">
        <f>K12</f>
        <v>4.4295996300606502E-2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-52</v>
      </c>
      <c r="E24" s="24">
        <v>-125000</v>
      </c>
      <c r="F24" s="5" t="s">
        <v>5</v>
      </c>
      <c r="G24" s="8"/>
      <c r="H24" s="8"/>
      <c r="I24" s="8"/>
      <c r="J24" s="7">
        <f>-J21</f>
        <v>-7057375</v>
      </c>
      <c r="K24" s="29">
        <f>SUM(K13:K15)</f>
        <v>0.3790313001030256</v>
      </c>
      <c r="L24" s="25">
        <f>SUM(J24:J28)/$B$6</f>
        <v>0.41192707554836028</v>
      </c>
    </row>
    <row r="25" spans="1:13" x14ac:dyDescent="0.3">
      <c r="A25" s="6" t="s">
        <v>13</v>
      </c>
      <c r="B25" s="6"/>
      <c r="C25" s="6"/>
      <c r="D25" s="54">
        <v>2318659.9700000002</v>
      </c>
      <c r="E25" s="24">
        <v>1</v>
      </c>
      <c r="F25" s="8" t="s">
        <v>5</v>
      </c>
      <c r="G25" s="8"/>
      <c r="H25" s="5"/>
      <c r="I25" s="5"/>
      <c r="J25" s="7">
        <f>D25</f>
        <v>2318659.9700000002</v>
      </c>
      <c r="K25" s="5"/>
      <c r="L25" s="5"/>
    </row>
    <row r="26" spans="1:13" x14ac:dyDescent="0.3">
      <c r="A26" s="6" t="s">
        <v>14</v>
      </c>
      <c r="B26" s="6"/>
      <c r="C26" s="6"/>
      <c r="D26" s="54">
        <v>9049809.5199999996</v>
      </c>
      <c r="E26" s="24">
        <v>1</v>
      </c>
      <c r="F26" s="8" t="s">
        <v>5</v>
      </c>
      <c r="G26" s="8"/>
      <c r="H26" s="5"/>
      <c r="I26" s="5"/>
      <c r="J26" s="7">
        <f>D26</f>
        <v>9049809.5199999996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627654.61</v>
      </c>
      <c r="E28" s="26">
        <v>1</v>
      </c>
      <c r="F28" s="12" t="s">
        <v>5</v>
      </c>
      <c r="G28" s="12"/>
      <c r="H28" s="12"/>
      <c r="I28" s="12"/>
      <c r="J28" s="14">
        <f>D28</f>
        <v>627654.61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11996124.1</v>
      </c>
      <c r="K29" s="46">
        <f>SUM(K21:K28)</f>
        <v>0.99999999999999956</v>
      </c>
      <c r="L29" s="46">
        <f>SUM(L21:L28)</f>
        <v>1.0005627373190926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52</v>
      </c>
      <c r="E34" s="24">
        <v>125000</v>
      </c>
      <c r="F34" s="5" t="s">
        <v>5</v>
      </c>
      <c r="G34" s="23"/>
      <c r="H34" s="33">
        <v>1.08575</v>
      </c>
      <c r="I34" s="23"/>
      <c r="J34" s="7">
        <f>J21</f>
        <v>7057375</v>
      </c>
      <c r="K34" s="27">
        <f>SUM(K10:K11)</f>
        <v>0.57667270359636735</v>
      </c>
      <c r="L34" s="25">
        <f>SUM(J34:J35)/$B$6</f>
        <v>0.58863566177073234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4.4295996300606502E-2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4938749.1000000006</v>
      </c>
      <c r="K37" s="67">
        <f>K24</f>
        <v>0.3790313001030256</v>
      </c>
      <c r="L37" s="67">
        <f>L24</f>
        <v>0.41192707554836028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11996124.100000001</v>
      </c>
      <c r="K38" s="46">
        <f>SUM(K34:K37)</f>
        <v>0.99999999999999956</v>
      </c>
      <c r="L38" s="46">
        <f>SUM(L34:L37)</f>
        <v>1.0005627373190926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2024-11-04T13:12:34Z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